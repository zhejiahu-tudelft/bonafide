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Non-GAAP (company)" sheetId="6" state="visible" r:id="rId6"/>
    <sheet xmlns:r="http://schemas.openxmlformats.org/officeDocument/2006/relationships" name="Segment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–&quot;"/>
    <numFmt numFmtId="165" formatCode="0.0%;(0.0%);&quot;–&quot;"/>
    <numFmt numFmtId="166" formatCode="0.0&quot;x&quot;"/>
    <numFmt numFmtId="167" formatCode="#,##0.000"/>
    <numFmt numFmtId="168" formatCode="#,##0.0000"/>
  </numFmts>
  <fonts count="7">
    <font>
      <name val="Calibri"/>
      <family val="2"/>
      <color theme="1"/>
      <sz val="11"/>
      <scheme val="minor"/>
    </font>
    <font>
      <b val="1"/>
      <color rgb="00135927"/>
      <sz val="14"/>
    </font>
    <font>
      <i val="1"/>
      <color rgb="005A6660"/>
    </font>
    <font>
      <b val="1"/>
      <color rgb="00FFFFFF"/>
    </font>
    <font>
      <color rgb="001F4FB4"/>
    </font>
    <font>
      <i val="1"/>
    </font>
    <font>
      <b val="1"/>
      <color rgb="00135927"/>
    </font>
  </fonts>
  <fills count="3">
    <fill>
      <patternFill/>
    </fill>
    <fill>
      <patternFill patternType="gray125"/>
    </fill>
    <fill>
      <patternFill patternType="solid">
        <fgColor rgb="001359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4" fontId="4" fillId="0" borderId="0" pivotButton="0" quotePrefix="0" xfId="0"/>
    <xf numFmtId="2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HPE — historical financial analysis</t>
        </is>
      </c>
    </row>
    <row r="2">
      <c r="A2" s="2" t="inlineStr">
        <is>
          <t>Bona Fide Student Investment Society · prepared 14-Sep-2026</t>
        </is>
      </c>
    </row>
    <row r="4">
      <c r="A4" t="inlineStr">
        <is>
          <t>Source: consolidated statements parsed from HPE 10-K FY2020–FY2025 and 10-Q Q3 FY26 (code/parse_statements.py).</t>
        </is>
      </c>
    </row>
    <row r="5">
      <c r="A5" t="inlineStr">
        <is>
          <t>Fiscal years end 31 October. TTM Q3 FY26 = FY2025 + 9M FY2026 − 9M FY2025; balance sheet at 31-Jul-2026.</t>
        </is>
      </c>
    </row>
    <row r="6">
      <c r="A6" t="inlineStr">
        <is>
          <t>Each fiscal year uses the most recent 10-K presenting that year. Values cross-checked to SEC XBRL (Checks sheet).</t>
        </is>
      </c>
    </row>
    <row r="7">
      <c r="A7" t="inlineStr">
        <is>
          <t>Non-GAAP figures are company-reported (Q4 earnings releases, 8-K Ex-99.1). Adjusted metrics marked 'analyst' are Bona Fide definitions.</t>
        </is>
      </c>
    </row>
    <row r="8">
      <c r="A8" t="inlineStr">
        <is>
          <t>Ratios sheet uses live formulas referencing the statement sheets. $ millions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HPE — income statement ($ millions)</t>
        </is>
      </c>
    </row>
    <row r="2">
      <c r="A2" s="2" t="inlineStr">
        <is>
          <t>Parsed from SEC filings; see README for conventions</t>
        </is>
      </c>
    </row>
    <row r="4">
      <c r="A4" s="3" t="inlineStr">
        <is>
          <t>Line item</t>
        </is>
      </c>
      <c r="B4" s="4" t="inlineStr">
        <is>
          <t>FY2020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</t>
        </is>
      </c>
      <c r="H4" s="4" t="inlineStr">
        <is>
          <t>TTM Q3 FY26</t>
        </is>
      </c>
    </row>
    <row r="5">
      <c r="A5" t="inlineStr">
        <is>
          <t>revenue</t>
        </is>
      </c>
      <c r="B5" s="5" t="n">
        <v>26982</v>
      </c>
      <c r="C5" s="5" t="n">
        <v>27784</v>
      </c>
      <c r="D5" s="5" t="n">
        <v>28496</v>
      </c>
      <c r="E5" s="5" t="n">
        <v>29135</v>
      </c>
      <c r="F5" s="5" t="n">
        <v>30127</v>
      </c>
      <c r="G5" s="5" t="n">
        <v>34296</v>
      </c>
      <c r="H5" s="5" t="n">
        <v>41871</v>
      </c>
    </row>
    <row r="6">
      <c r="A6" t="inlineStr">
        <is>
          <t>rev_products</t>
        </is>
      </c>
      <c r="B6" s="5" t="n">
        <v>16264</v>
      </c>
      <c r="C6" s="5" t="n">
        <v>17011</v>
      </c>
      <c r="D6" s="5" t="n">
        <v>17794</v>
      </c>
      <c r="E6" s="5" t="n">
        <v>18100</v>
      </c>
      <c r="F6" s="5" t="n">
        <v>18587</v>
      </c>
      <c r="G6" s="5" t="n">
        <v>21956</v>
      </c>
      <c r="H6" s="5" t="n">
        <v>27979</v>
      </c>
    </row>
    <row r="7">
      <c r="A7" t="inlineStr">
        <is>
          <t>rev_services</t>
        </is>
      </c>
      <c r="B7" s="5" t="n">
        <v>10249</v>
      </c>
      <c r="C7" s="5" t="n">
        <v>10279</v>
      </c>
      <c r="D7" s="5" t="n">
        <v>10219</v>
      </c>
      <c r="E7" s="5" t="n">
        <v>10488</v>
      </c>
      <c r="F7" s="5" t="n">
        <v>10872</v>
      </c>
      <c r="G7" s="5" t="n">
        <v>11573</v>
      </c>
      <c r="H7" s="5" t="n">
        <v>13113</v>
      </c>
    </row>
    <row r="8">
      <c r="A8" t="inlineStr">
        <is>
          <t>rev_financing</t>
        </is>
      </c>
      <c r="B8" s="5" t="n">
        <v>469</v>
      </c>
      <c r="C8" s="5" t="n">
        <v>494</v>
      </c>
      <c r="D8" s="5" t="n">
        <v>483</v>
      </c>
      <c r="E8" s="5" t="n">
        <v>547</v>
      </c>
      <c r="F8" s="5" t="n">
        <v>668</v>
      </c>
      <c r="G8" s="5" t="n">
        <v>767</v>
      </c>
      <c r="H8" s="5" t="n">
        <v>779</v>
      </c>
    </row>
    <row r="9">
      <c r="A9" t="inlineStr">
        <is>
          <t>cost_of_sales</t>
        </is>
      </c>
      <c r="B9" s="5" t="n">
        <v>18513</v>
      </c>
      <c r="C9" s="5" t="n">
        <v>18408</v>
      </c>
      <c r="D9" s="5" t="n">
        <v>18990</v>
      </c>
      <c r="E9" s="5" t="n">
        <v>18896</v>
      </c>
      <c r="F9" s="5" t="n">
        <v>20249</v>
      </c>
      <c r="G9" s="5" t="n">
        <v>23919</v>
      </c>
      <c r="H9" s="5" t="n">
        <v>26491</v>
      </c>
    </row>
    <row r="10">
      <c r="A10" t="inlineStr">
        <is>
          <t>gross_profit</t>
        </is>
      </c>
      <c r="B10" s="5" t="n">
        <v>8469</v>
      </c>
      <c r="C10" s="5" t="n">
        <v>9376</v>
      </c>
      <c r="D10" s="5" t="n">
        <v>9506</v>
      </c>
      <c r="E10" s="5" t="n">
        <v>10239</v>
      </c>
      <c r="F10" s="5" t="n">
        <v>9878</v>
      </c>
      <c r="G10" s="5" t="n">
        <v>10377</v>
      </c>
      <c r="H10" s="5" t="n">
        <v>15380</v>
      </c>
    </row>
    <row r="11">
      <c r="A11" t="inlineStr">
        <is>
          <t>rd</t>
        </is>
      </c>
      <c r="B11" s="5" t="n">
        <v>1874</v>
      </c>
      <c r="C11" s="5" t="n">
        <v>1979</v>
      </c>
      <c r="D11" s="5" t="n">
        <v>2045</v>
      </c>
      <c r="E11" s="5" t="n">
        <v>2349</v>
      </c>
      <c r="F11" s="5" t="n">
        <v>2246</v>
      </c>
      <c r="G11" s="5" t="n">
        <v>2518</v>
      </c>
      <c r="H11" s="5" t="n">
        <v>3705</v>
      </c>
    </row>
    <row r="12">
      <c r="A12" t="inlineStr">
        <is>
          <t>sga</t>
        </is>
      </c>
      <c r="B12" s="5" t="n">
        <v>4624</v>
      </c>
      <c r="C12" s="5" t="n">
        <v>4929</v>
      </c>
      <c r="D12" s="5" t="n">
        <v>4941</v>
      </c>
      <c r="E12" s="5" t="n">
        <v>5160</v>
      </c>
      <c r="F12" s="5" t="n">
        <v>4871</v>
      </c>
      <c r="G12" s="5" t="n">
        <v>5704</v>
      </c>
      <c r="H12" s="5" t="n">
        <v>7132</v>
      </c>
    </row>
    <row r="13">
      <c r="A13" t="inlineStr">
        <is>
          <t>amortization</t>
        </is>
      </c>
      <c r="B13" s="5" t="n">
        <v>379</v>
      </c>
      <c r="C13" s="5" t="n">
        <v>354</v>
      </c>
      <c r="D13" s="5" t="n">
        <v>293</v>
      </c>
      <c r="E13" s="5" t="n">
        <v>288</v>
      </c>
      <c r="F13" s="5" t="n">
        <v>267</v>
      </c>
      <c r="G13" s="5" t="n">
        <v>511</v>
      </c>
      <c r="H13" s="5" t="n">
        <v>1259</v>
      </c>
    </row>
    <row r="14">
      <c r="A14" t="inlineStr">
        <is>
          <t>impairment</t>
        </is>
      </c>
      <c r="B14" s="5" t="n">
        <v>865</v>
      </c>
      <c r="C14" s="5" t="n">
        <v>0</v>
      </c>
      <c r="D14" s="5" t="n">
        <v>905</v>
      </c>
      <c r="E14" s="5" t="n">
        <v>0</v>
      </c>
      <c r="F14" s="5" t="n">
        <v>0</v>
      </c>
      <c r="G14" s="5" t="n">
        <v>1621</v>
      </c>
      <c r="H14" s="5" t="n">
        <v>260</v>
      </c>
    </row>
    <row r="15">
      <c r="A15" t="inlineStr">
        <is>
          <t>transformation</t>
        </is>
      </c>
      <c r="B15" s="5" t="n">
        <v>950</v>
      </c>
      <c r="C15" s="5" t="n">
        <v>930</v>
      </c>
      <c r="D15" s="5" t="n">
        <v>473</v>
      </c>
      <c r="E15" s="5" t="n">
        <v>283</v>
      </c>
      <c r="F15" s="5" t="n">
        <v>93</v>
      </c>
      <c r="G15" s="5" t="n">
        <v>2</v>
      </c>
      <c r="H15" s="5" t="n"/>
    </row>
    <row r="16">
      <c r="A16" t="inlineStr">
        <is>
          <t>disaster</t>
        </is>
      </c>
      <c r="B16" s="5" t="n">
        <v>26</v>
      </c>
      <c r="C16" s="5" t="n">
        <v>16</v>
      </c>
      <c r="D16" s="5" t="n">
        <v>48</v>
      </c>
      <c r="E16" s="5" t="n">
        <v>1</v>
      </c>
      <c r="F16" s="5" t="n">
        <v>7</v>
      </c>
      <c r="G16" s="5" t="n"/>
      <c r="H16" s="5" t="n"/>
    </row>
    <row r="17">
      <c r="A17" t="inlineStr">
        <is>
          <t>acq_dispo</t>
        </is>
      </c>
      <c r="B17" s="5" t="n">
        <v>80</v>
      </c>
      <c r="C17" s="5" t="n">
        <v>36</v>
      </c>
      <c r="D17" s="5" t="n">
        <v>19</v>
      </c>
      <c r="E17" s="5" t="n">
        <v>70</v>
      </c>
      <c r="F17" s="5" t="n">
        <v>211</v>
      </c>
      <c r="G17" s="5" t="n">
        <v>458</v>
      </c>
      <c r="H17" s="5" t="n">
        <v>420</v>
      </c>
    </row>
    <row r="18">
      <c r="A18" t="inlineStr">
        <is>
          <t>operating_income</t>
        </is>
      </c>
      <c r="B18" s="5" t="n">
        <v>-329</v>
      </c>
      <c r="C18" s="5" t="n">
        <v>1132</v>
      </c>
      <c r="D18" s="5" t="n">
        <v>782</v>
      </c>
      <c r="E18" s="5" t="n">
        <v>2089</v>
      </c>
      <c r="F18" s="5" t="n">
        <v>2190</v>
      </c>
      <c r="G18" s="5" t="n">
        <v>-437</v>
      </c>
      <c r="H18" s="5" t="n">
        <v>2602</v>
      </c>
    </row>
    <row r="19">
      <c r="A19" t="inlineStr">
        <is>
          <t>pretax_income</t>
        </is>
      </c>
      <c r="B19" s="5" t="n">
        <v>-442</v>
      </c>
      <c r="C19" s="5" t="n">
        <v>3587</v>
      </c>
      <c r="D19" s="5" t="n">
        <v>876</v>
      </c>
      <c r="E19" s="5" t="n">
        <v>2230</v>
      </c>
      <c r="F19" s="5" t="n">
        <v>2953</v>
      </c>
      <c r="G19" s="5" t="n">
        <v>-285</v>
      </c>
      <c r="H19" s="5" t="n">
        <v>2633</v>
      </c>
    </row>
    <row r="20">
      <c r="A20" t="inlineStr">
        <is>
          <t>net_income</t>
        </is>
      </c>
      <c r="B20" s="5" t="n">
        <v>-322</v>
      </c>
      <c r="C20" s="5" t="n">
        <v>3427</v>
      </c>
      <c r="D20" s="5" t="n">
        <v>868</v>
      </c>
      <c r="E20" s="5" t="n">
        <v>2025</v>
      </c>
      <c r="F20" s="5" t="n">
        <v>2579</v>
      </c>
      <c r="G20" s="5" t="n">
        <v>57</v>
      </c>
      <c r="H20" s="5" t="n">
        <v>2791</v>
      </c>
    </row>
    <row r="21">
      <c r="A21" t="inlineStr">
        <is>
          <t>preferred_dividends</t>
        </is>
      </c>
      <c r="B21" s="5" t="n"/>
      <c r="C21" s="5" t="n"/>
      <c r="D21" s="5" t="n">
        <v>0</v>
      </c>
      <c r="E21" s="5" t="n">
        <v>0</v>
      </c>
      <c r="F21" s="5" t="n">
        <v>-25</v>
      </c>
      <c r="G21" s="5" t="n">
        <v>-116</v>
      </c>
      <c r="H21" s="5" t="n">
        <v>-116</v>
      </c>
    </row>
    <row r="22">
      <c r="A22" t="inlineStr">
        <is>
          <t>eps_diluted</t>
        </is>
      </c>
      <c r="B22" s="6" t="n">
        <v>-0.25</v>
      </c>
      <c r="C22" s="6" t="n">
        <v>2.58</v>
      </c>
      <c r="D22" s="6" t="n">
        <v>0.66</v>
      </c>
      <c r="E22" s="6" t="n">
        <v>1.54</v>
      </c>
      <c r="F22" s="6" t="n">
        <v>1.93</v>
      </c>
      <c r="G22" s="6" t="n">
        <v>-0.04</v>
      </c>
      <c r="H22" s="6" t="n"/>
    </row>
    <row r="23">
      <c r="A23" t="inlineStr">
        <is>
          <t>shares_basic</t>
        </is>
      </c>
      <c r="B23" s="5" t="n">
        <v>1294</v>
      </c>
      <c r="C23" s="5" t="n">
        <v>1309</v>
      </c>
      <c r="D23" s="5" t="n">
        <v>1303</v>
      </c>
      <c r="E23" s="5" t="n">
        <v>1299</v>
      </c>
      <c r="F23" s="5" t="n">
        <v>1309</v>
      </c>
      <c r="G23" s="5" t="n">
        <v>1324</v>
      </c>
      <c r="H23" s="5" t="n">
        <v>1336</v>
      </c>
    </row>
    <row r="24">
      <c r="A24" t="inlineStr">
        <is>
          <t>shares_diluted</t>
        </is>
      </c>
      <c r="B24" s="5" t="n">
        <v>1294</v>
      </c>
      <c r="C24" s="5" t="n">
        <v>1330</v>
      </c>
      <c r="D24" s="5" t="n">
        <v>1322</v>
      </c>
      <c r="E24" s="5" t="n">
        <v>1316</v>
      </c>
      <c r="F24" s="5" t="n">
        <v>1337</v>
      </c>
      <c r="G24" s="5" t="n">
        <v>1324</v>
      </c>
      <c r="H24" s="5" t="n">
        <v>1449</v>
      </c>
    </row>
    <row r="25">
      <c r="A25" t="inlineStr">
        <is>
          <t>d_and_a</t>
        </is>
      </c>
      <c r="B25" s="5" t="n">
        <v>2625</v>
      </c>
      <c r="C25" s="5" t="n">
        <v>2597</v>
      </c>
      <c r="D25" s="5" t="n">
        <v>2480</v>
      </c>
      <c r="E25" s="5" t="n">
        <v>2616</v>
      </c>
      <c r="F25" s="5" t="n">
        <v>2564</v>
      </c>
      <c r="G25" s="5" t="n">
        <v>2737</v>
      </c>
      <c r="H25" s="5" t="n">
        <v>3490</v>
      </c>
    </row>
    <row r="26">
      <c r="A26" t="inlineStr">
        <is>
          <t>sbc</t>
        </is>
      </c>
      <c r="B26" s="5" t="n">
        <v>274</v>
      </c>
      <c r="C26" s="5" t="n">
        <v>382</v>
      </c>
      <c r="D26" s="5" t="n">
        <v>391</v>
      </c>
      <c r="E26" s="5" t="n">
        <v>428</v>
      </c>
      <c r="F26" s="5" t="n">
        <v>430</v>
      </c>
      <c r="G26" s="5" t="n">
        <v>643</v>
      </c>
      <c r="H26" s="5" t="n">
        <v>795</v>
      </c>
    </row>
    <row r="27">
      <c r="A27" t="inlineStr">
        <is>
          <t>ebitda</t>
        </is>
      </c>
      <c r="B27" s="5" t="n">
        <v>2296</v>
      </c>
      <c r="C27" s="5" t="n">
        <v>3729</v>
      </c>
      <c r="D27" s="5" t="n">
        <v>3262</v>
      </c>
      <c r="E27" s="5" t="n">
        <v>4705</v>
      </c>
      <c r="F27" s="5" t="n">
        <v>4754</v>
      </c>
      <c r="G27" s="5" t="n">
        <v>2300</v>
      </c>
      <c r="H27" s="5" t="n">
        <v>6092</v>
      </c>
    </row>
    <row r="28">
      <c r="A28" t="inlineStr">
        <is>
          <t>adj_operating_income_analyst</t>
        </is>
      </c>
      <c r="B28" s="5" t="n">
        <v>2245</v>
      </c>
      <c r="C28" s="5" t="n">
        <v>2850</v>
      </c>
      <c r="D28" s="5" t="n">
        <v>2911</v>
      </c>
      <c r="E28" s="5" t="n">
        <v>3159</v>
      </c>
      <c r="F28" s="5" t="n">
        <v>3198</v>
      </c>
      <c r="G28" s="5" t="n">
        <v>2798</v>
      </c>
      <c r="H28" s="5" t="n">
        <v>5336</v>
      </c>
    </row>
    <row r="29">
      <c r="A29" t="inlineStr">
        <is>
          <t>adj_ebitda_analyst</t>
        </is>
      </c>
      <c r="B29" s="5" t="n">
        <v>4491</v>
      </c>
      <c r="C29" s="5" t="n">
        <v>5093</v>
      </c>
      <c r="D29" s="5" t="n">
        <v>5098</v>
      </c>
      <c r="E29" s="5" t="n">
        <v>5487</v>
      </c>
      <c r="F29" s="5" t="n">
        <v>5495</v>
      </c>
      <c r="G29" s="5" t="n">
        <v>5024</v>
      </c>
      <c r="H29" s="5" t="n">
        <v>7567</v>
      </c>
    </row>
    <row r="30">
      <c r="A30" t="inlineStr">
        <is>
          <t>non_gaap_gross_profit</t>
        </is>
      </c>
      <c r="B30" s="5" t="n">
        <v>8543</v>
      </c>
      <c r="C30" s="5" t="n">
        <v>9424</v>
      </c>
      <c r="D30" s="5" t="n">
        <v>9667</v>
      </c>
      <c r="E30" s="5" t="n">
        <v>10273</v>
      </c>
      <c r="F30" s="5" t="n">
        <v>9893</v>
      </c>
      <c r="G30" s="5" t="n">
        <v>10805</v>
      </c>
      <c r="H30" s="5" t="n">
        <v>15787</v>
      </c>
    </row>
    <row r="31">
      <c r="A31" t="inlineStr">
        <is>
          <t>non_gaap_operating_profit</t>
        </is>
      </c>
      <c r="B31" s="5" t="n">
        <v>2282</v>
      </c>
      <c r="C31" s="5" t="n">
        <v>2848</v>
      </c>
      <c r="D31" s="5" t="n">
        <v>3026</v>
      </c>
      <c r="E31" s="5" t="n">
        <v>3145</v>
      </c>
      <c r="F31" s="5" t="n">
        <v>3168</v>
      </c>
      <c r="G31" s="5" t="n">
        <v>3353</v>
      </c>
      <c r="H31" s="5" t="n">
        <v>5767</v>
      </c>
    </row>
    <row r="32">
      <c r="A32" t="inlineStr">
        <is>
          <t>non_gaap_net_earnings_hpe</t>
        </is>
      </c>
      <c r="B32" s="5" t="n">
        <v>2005</v>
      </c>
      <c r="C32" s="5" t="n">
        <v>2602</v>
      </c>
      <c r="D32" s="5" t="n">
        <v>2664</v>
      </c>
      <c r="E32" s="5" t="n">
        <v>2832</v>
      </c>
      <c r="F32" s="5" t="n">
        <v>2655</v>
      </c>
      <c r="G32" s="5" t="n">
        <v>2753</v>
      </c>
      <c r="H32" s="5" t="n">
        <v>4569</v>
      </c>
    </row>
    <row r="33">
      <c r="A33" t="inlineStr">
        <is>
          <t>non_gaap_diluted_eps</t>
        </is>
      </c>
      <c r="B33" s="6" t="n">
        <v>1.54</v>
      </c>
      <c r="C33" s="6" t="n">
        <v>1.96</v>
      </c>
      <c r="D33" s="6" t="n">
        <v>2.02</v>
      </c>
      <c r="E33" s="6" t="n">
        <v>2.15</v>
      </c>
      <c r="F33" s="6" t="n">
        <v>1.99</v>
      </c>
      <c r="G33" s="6" t="n">
        <v>1.94</v>
      </c>
      <c r="H33" s="6" t="n">
        <v>3.17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HPE — balance sheet ($ millions)</t>
        </is>
      </c>
    </row>
    <row r="2">
      <c r="A2" s="2" t="inlineStr">
        <is>
          <t>Parsed from SEC filings; see README for conventions</t>
        </is>
      </c>
    </row>
    <row r="4">
      <c r="A4" s="3" t="inlineStr">
        <is>
          <t>Line item</t>
        </is>
      </c>
      <c r="B4" s="4" t="inlineStr">
        <is>
          <t>FY2020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</t>
        </is>
      </c>
      <c r="H4" s="4" t="inlineStr">
        <is>
          <t>TTM Q3 FY26</t>
        </is>
      </c>
    </row>
    <row r="5">
      <c r="A5" t="inlineStr">
        <is>
          <t>cash</t>
        </is>
      </c>
      <c r="B5" s="5" t="n">
        <v>4233</v>
      </c>
      <c r="C5" s="5" t="n">
        <v>3996</v>
      </c>
      <c r="D5" s="5" t="n">
        <v>4163</v>
      </c>
      <c r="E5" s="5" t="n">
        <v>4270</v>
      </c>
      <c r="F5" s="5" t="n">
        <v>14846</v>
      </c>
      <c r="G5" s="5" t="n">
        <v>5773</v>
      </c>
      <c r="H5" s="5" t="n">
        <v>6216</v>
      </c>
    </row>
    <row r="6">
      <c r="A6" t="inlineStr">
        <is>
          <t>accounts_receivable</t>
        </is>
      </c>
      <c r="B6" s="5" t="n">
        <v>3386</v>
      </c>
      <c r="C6" s="5" t="n">
        <v>3979</v>
      </c>
      <c r="D6" s="5" t="n">
        <v>4101</v>
      </c>
      <c r="E6" s="5" t="n">
        <v>3481</v>
      </c>
      <c r="F6" s="5" t="n">
        <v>3550</v>
      </c>
      <c r="G6" s="5" t="n">
        <v>5290</v>
      </c>
      <c r="H6" s="5" t="n">
        <v>6185</v>
      </c>
    </row>
    <row r="7">
      <c r="A7" t="inlineStr">
        <is>
          <t>financing_receivables_current</t>
        </is>
      </c>
      <c r="B7" s="5" t="n">
        <v>3794</v>
      </c>
      <c r="C7" s="5" t="n">
        <v>3932</v>
      </c>
      <c r="D7" s="5" t="n">
        <v>3522</v>
      </c>
      <c r="E7" s="5" t="n">
        <v>3543</v>
      </c>
      <c r="F7" s="5" t="n">
        <v>3870</v>
      </c>
      <c r="G7" s="5" t="n">
        <v>3826</v>
      </c>
      <c r="H7" s="5" t="n">
        <v>3841</v>
      </c>
    </row>
    <row r="8">
      <c r="A8" t="inlineStr">
        <is>
          <t>inventory</t>
        </is>
      </c>
      <c r="B8" s="5" t="n">
        <v>2674</v>
      </c>
      <c r="C8" s="5" t="n">
        <v>4511</v>
      </c>
      <c r="D8" s="5" t="n">
        <v>5161</v>
      </c>
      <c r="E8" s="5" t="n">
        <v>4607</v>
      </c>
      <c r="F8" s="5" t="n">
        <v>7810</v>
      </c>
      <c r="G8" s="5" t="n">
        <v>6352</v>
      </c>
      <c r="H8" s="5" t="n">
        <v>11823</v>
      </c>
    </row>
    <row r="9">
      <c r="A9" t="inlineStr">
        <is>
          <t>current_assets</t>
        </is>
      </c>
      <c r="B9" s="5" t="n">
        <v>16556</v>
      </c>
      <c r="C9" s="5" t="n">
        <v>18878</v>
      </c>
      <c r="D9" s="5" t="n">
        <v>20506</v>
      </c>
      <c r="E9" s="5" t="n">
        <v>18948</v>
      </c>
      <c r="F9" s="5" t="n">
        <v>33457</v>
      </c>
      <c r="G9" s="5" t="n">
        <v>24994</v>
      </c>
      <c r="H9" s="5" t="n">
        <v>33865</v>
      </c>
    </row>
    <row r="10">
      <c r="A10" t="inlineStr">
        <is>
          <t>lt_financing_receivables_other</t>
        </is>
      </c>
      <c r="B10" s="5" t="n">
        <v>10544</v>
      </c>
      <c r="C10" s="5" t="n">
        <v>11670</v>
      </c>
      <c r="D10" s="5" t="n">
        <v>10537</v>
      </c>
      <c r="E10" s="5" t="n">
        <v>11377</v>
      </c>
      <c r="F10" s="5" t="n">
        <v>12616</v>
      </c>
      <c r="G10" s="5" t="n">
        <v>13817</v>
      </c>
      <c r="H10" s="5" t="n">
        <v>14632</v>
      </c>
    </row>
    <row r="11">
      <c r="A11" t="inlineStr">
        <is>
          <t>equity_investments</t>
        </is>
      </c>
      <c r="B11" s="5" t="n">
        <v>2170</v>
      </c>
      <c r="C11" s="5" t="n">
        <v>2210</v>
      </c>
      <c r="D11" s="5" t="n">
        <v>2160</v>
      </c>
      <c r="E11" s="5" t="n">
        <v>2197</v>
      </c>
      <c r="F11" s="5" t="n">
        <v>929</v>
      </c>
      <c r="G11" s="5" t="n">
        <v>955</v>
      </c>
      <c r="H11" s="5" t="n">
        <v>0</v>
      </c>
    </row>
    <row r="12">
      <c r="A12" t="inlineStr">
        <is>
          <t>goodwill_and_intangibles</t>
        </is>
      </c>
      <c r="B12" s="5" t="n">
        <v>19120</v>
      </c>
      <c r="C12" s="5" t="n">
        <v>19328</v>
      </c>
      <c r="D12" s="5" t="n">
        <v>18136</v>
      </c>
      <c r="E12" s="5" t="n">
        <v>18642</v>
      </c>
      <c r="F12" s="5" t="n">
        <v>18596</v>
      </c>
      <c r="G12" s="5" t="n">
        <v>30138</v>
      </c>
      <c r="H12" s="5" t="n">
        <v>29454</v>
      </c>
    </row>
    <row r="13">
      <c r="A13" t="inlineStr">
        <is>
          <t>total_assets</t>
        </is>
      </c>
      <c r="B13" s="5" t="n">
        <v>54015</v>
      </c>
      <c r="C13" s="5" t="n">
        <v>57699</v>
      </c>
      <c r="D13" s="5" t="n">
        <v>57123</v>
      </c>
      <c r="E13" s="5" t="n">
        <v>57153</v>
      </c>
      <c r="F13" s="5" t="n">
        <v>71262</v>
      </c>
      <c r="G13" s="5" t="n">
        <v>75906</v>
      </c>
      <c r="H13" s="5" t="n">
        <v>83596</v>
      </c>
    </row>
    <row r="14">
      <c r="A14" t="inlineStr">
        <is>
          <t>short_term_debt</t>
        </is>
      </c>
      <c r="B14" s="5" t="n">
        <v>3755</v>
      </c>
      <c r="C14" s="5" t="n">
        <v>3552</v>
      </c>
      <c r="D14" s="5" t="n">
        <v>4612</v>
      </c>
      <c r="E14" s="5" t="n">
        <v>4868</v>
      </c>
      <c r="F14" s="5" t="n">
        <v>4742</v>
      </c>
      <c r="G14" s="5" t="n">
        <v>4609</v>
      </c>
      <c r="H14" s="5" t="n">
        <v>2901</v>
      </c>
    </row>
    <row r="15">
      <c r="A15" t="inlineStr">
        <is>
          <t>accounts_payable</t>
        </is>
      </c>
      <c r="B15" s="5" t="n">
        <v>5383</v>
      </c>
      <c r="C15" s="5" t="n">
        <v>7004</v>
      </c>
      <c r="D15" s="5" t="n">
        <v>8717</v>
      </c>
      <c r="E15" s="5" t="n">
        <v>7136</v>
      </c>
      <c r="F15" s="5" t="n">
        <v>11064</v>
      </c>
      <c r="G15" s="5" t="n">
        <v>7731</v>
      </c>
      <c r="H15" s="5" t="n">
        <v>13734</v>
      </c>
    </row>
    <row r="16">
      <c r="A16" t="inlineStr">
        <is>
          <t>deferred_revenue</t>
        </is>
      </c>
      <c r="B16" s="5" t="n">
        <v>3430</v>
      </c>
      <c r="C16" s="5" t="n">
        <v>3408</v>
      </c>
      <c r="D16" s="5" t="n">
        <v>3451</v>
      </c>
      <c r="E16" s="5" t="n">
        <v>3658</v>
      </c>
      <c r="F16" s="5" t="n">
        <v>3904</v>
      </c>
      <c r="G16" s="5" t="n">
        <v>5358</v>
      </c>
      <c r="H16" s="5" t="n">
        <v>5561</v>
      </c>
    </row>
    <row r="17">
      <c r="A17" t="inlineStr">
        <is>
          <t>current_liabilities</t>
        </is>
      </c>
      <c r="B17" s="5" t="n">
        <v>18738</v>
      </c>
      <c r="C17" s="5" t="n">
        <v>20687</v>
      </c>
      <c r="D17" s="5" t="n">
        <v>23174</v>
      </c>
      <c r="E17" s="5" t="n">
        <v>21882</v>
      </c>
      <c r="F17" s="5" t="n">
        <v>25973</v>
      </c>
      <c r="G17" s="5" t="n">
        <v>24643</v>
      </c>
      <c r="H17" s="5" t="n">
        <v>30436</v>
      </c>
    </row>
    <row r="18">
      <c r="A18" t="inlineStr">
        <is>
          <t>long_term_debt</t>
        </is>
      </c>
      <c r="B18" s="5" t="n">
        <v>12186</v>
      </c>
      <c r="C18" s="5" t="n">
        <v>9896</v>
      </c>
      <c r="D18" s="5" t="n">
        <v>7853</v>
      </c>
      <c r="E18" s="5" t="n">
        <v>7487</v>
      </c>
      <c r="F18" s="5" t="n">
        <v>13504</v>
      </c>
      <c r="G18" s="5" t="n">
        <v>17756</v>
      </c>
      <c r="H18" s="5" t="n">
        <v>17343</v>
      </c>
    </row>
    <row r="19">
      <c r="A19" t="inlineStr">
        <is>
          <t>gross_debt</t>
        </is>
      </c>
      <c r="B19" s="5" t="n">
        <v>15941</v>
      </c>
      <c r="C19" s="5" t="n">
        <v>13448</v>
      </c>
      <c r="D19" s="5" t="n">
        <v>12465</v>
      </c>
      <c r="E19" s="5" t="n">
        <v>12355</v>
      </c>
      <c r="F19" s="5" t="n">
        <v>18246</v>
      </c>
      <c r="G19" s="5" t="n">
        <v>22365</v>
      </c>
      <c r="H19" s="5" t="n">
        <v>20244</v>
      </c>
    </row>
    <row r="20">
      <c r="A20" t="inlineStr">
        <is>
          <t>net_debt</t>
        </is>
      </c>
      <c r="B20" s="5" t="n">
        <v>11708</v>
      </c>
      <c r="C20" s="5" t="n">
        <v>9452</v>
      </c>
      <c r="D20" s="5" t="n">
        <v>8302</v>
      </c>
      <c r="E20" s="5" t="n">
        <v>8085</v>
      </c>
      <c r="F20" s="5" t="n">
        <v>3400</v>
      </c>
      <c r="G20" s="5" t="n">
        <v>16592</v>
      </c>
      <c r="H20" s="5" t="n">
        <v>14028</v>
      </c>
    </row>
    <row r="21">
      <c r="A21" t="inlineStr">
        <is>
          <t>hpe_equity</t>
        </is>
      </c>
      <c r="B21" s="5" t="n">
        <v>16049</v>
      </c>
      <c r="C21" s="5" t="n">
        <v>19971</v>
      </c>
      <c r="D21" s="5" t="n">
        <v>19864</v>
      </c>
      <c r="E21" s="5" t="n">
        <v>21182</v>
      </c>
      <c r="F21" s="5" t="n">
        <v>24816</v>
      </c>
      <c r="G21" s="5" t="n">
        <v>24688</v>
      </c>
      <c r="H21" s="5" t="n">
        <v>26514</v>
      </c>
    </row>
    <row r="22">
      <c r="A22" t="inlineStr">
        <is>
          <t>total_equity</t>
        </is>
      </c>
      <c r="B22" s="5" t="n">
        <v>16096</v>
      </c>
      <c r="C22" s="5" t="n">
        <v>20017</v>
      </c>
      <c r="D22" s="5" t="n">
        <v>19909</v>
      </c>
      <c r="E22" s="5" t="n">
        <v>21238</v>
      </c>
      <c r="F22" s="5" t="n">
        <v>24880</v>
      </c>
      <c r="G22" s="5" t="n">
        <v>24754</v>
      </c>
      <c r="H22" s="5" t="n">
        <v>26576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HPE — cash flow ($ millions)</t>
        </is>
      </c>
    </row>
    <row r="2">
      <c r="A2" s="2" t="inlineStr">
        <is>
          <t>Parsed from SEC filings; see README for conventions</t>
        </is>
      </c>
    </row>
    <row r="4">
      <c r="A4" s="3" t="inlineStr">
        <is>
          <t>Line item</t>
        </is>
      </c>
      <c r="B4" s="4" t="inlineStr">
        <is>
          <t>FY2020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</t>
        </is>
      </c>
      <c r="H4" s="4" t="inlineStr">
        <is>
          <t>TTM Q3 FY26</t>
        </is>
      </c>
    </row>
    <row r="5">
      <c r="A5" t="inlineStr">
        <is>
          <t>cfo</t>
        </is>
      </c>
      <c r="B5" s="5" t="n">
        <v>2240</v>
      </c>
      <c r="C5" s="5" t="n">
        <v>5871</v>
      </c>
      <c r="D5" s="5" t="n">
        <v>4593</v>
      </c>
      <c r="E5" s="5" t="n">
        <v>4428</v>
      </c>
      <c r="F5" s="5" t="n">
        <v>4341</v>
      </c>
      <c r="G5" s="5" t="n">
        <v>2919</v>
      </c>
      <c r="H5" s="5" t="n">
        <v>6694</v>
      </c>
    </row>
    <row r="6">
      <c r="A6" t="inlineStr">
        <is>
          <t>capex_gross</t>
        </is>
      </c>
      <c r="B6" s="5" t="n">
        <v>-2383</v>
      </c>
      <c r="C6" s="5" t="n">
        <v>-2502</v>
      </c>
      <c r="D6" s="5" t="n">
        <v>-3122</v>
      </c>
      <c r="E6" s="5" t="n">
        <v>-2828</v>
      </c>
      <c r="F6" s="5" t="n">
        <v>-2367</v>
      </c>
      <c r="G6" s="5" t="n">
        <v>-2292</v>
      </c>
      <c r="H6" s="5" t="n">
        <v>-2538</v>
      </c>
    </row>
    <row r="7">
      <c r="A7" t="inlineStr">
        <is>
          <t>ppe_proceeds</t>
        </is>
      </c>
      <c r="B7" s="5" t="n">
        <v>703</v>
      </c>
      <c r="C7" s="5" t="n">
        <v>354</v>
      </c>
      <c r="D7" s="5" t="n">
        <v>602</v>
      </c>
      <c r="E7" s="5" t="n">
        <v>602</v>
      </c>
      <c r="F7" s="5" t="n">
        <v>370</v>
      </c>
      <c r="G7" s="5" t="n">
        <v>380</v>
      </c>
      <c r="H7" s="5" t="n">
        <v>414</v>
      </c>
    </row>
    <row r="8">
      <c r="A8" t="inlineStr">
        <is>
          <t>capex_net</t>
        </is>
      </c>
      <c r="B8" s="5" t="n">
        <v>-1680</v>
      </c>
      <c r="C8" s="5" t="n">
        <v>-2148</v>
      </c>
      <c r="D8" s="5" t="n">
        <v>-2520</v>
      </c>
      <c r="E8" s="5" t="n">
        <v>-2226</v>
      </c>
      <c r="F8" s="5" t="n">
        <v>-1997</v>
      </c>
      <c r="G8" s="5" t="n">
        <v>-1912</v>
      </c>
      <c r="H8" s="5" t="n">
        <v>-2124</v>
      </c>
    </row>
    <row r="9">
      <c r="A9" t="inlineStr">
        <is>
          <t>fx_effect</t>
        </is>
      </c>
      <c r="B9" s="5" t="n">
        <v>0</v>
      </c>
      <c r="C9" s="5" t="n">
        <v>0</v>
      </c>
      <c r="D9" s="5" t="n">
        <v>-279</v>
      </c>
      <c r="E9" s="5" t="n">
        <v>36</v>
      </c>
      <c r="F9" s="5" t="n">
        <v>-47</v>
      </c>
      <c r="G9" s="5" t="n">
        <v>-21</v>
      </c>
      <c r="H9" s="5" t="n">
        <v>-69</v>
      </c>
    </row>
    <row r="10">
      <c r="A10" t="inlineStr">
        <is>
          <t>fcf_hpe_definition</t>
        </is>
      </c>
      <c r="B10" s="5" t="n">
        <v>560</v>
      </c>
      <c r="C10" s="5" t="n">
        <v>3723</v>
      </c>
      <c r="D10" s="5" t="n">
        <v>1794</v>
      </c>
      <c r="E10" s="5" t="n">
        <v>2238</v>
      </c>
      <c r="F10" s="5" t="n">
        <v>2297</v>
      </c>
      <c r="G10" s="5" t="n">
        <v>986</v>
      </c>
      <c r="H10" s="5" t="n">
        <v>4501</v>
      </c>
    </row>
    <row r="11">
      <c r="A11" t="inlineStr">
        <is>
          <t>free_cash_flow_reported</t>
        </is>
      </c>
      <c r="B11" s="5" t="n">
        <v>560</v>
      </c>
      <c r="C11" s="5" t="n">
        <v>1551</v>
      </c>
      <c r="D11" s="5" t="n">
        <v>1794</v>
      </c>
      <c r="E11" s="5" t="n">
        <v>2238</v>
      </c>
      <c r="F11" s="5" t="n">
        <v>2297</v>
      </c>
      <c r="G11" s="5" t="n">
        <v>986</v>
      </c>
      <c r="H11" s="5" t="n">
        <v>4501</v>
      </c>
    </row>
    <row r="12">
      <c r="A12" t="inlineStr">
        <is>
          <t>acquisitions</t>
        </is>
      </c>
      <c r="B12" s="5" t="n">
        <v>-866</v>
      </c>
      <c r="C12" s="5" t="n">
        <v>-505</v>
      </c>
      <c r="D12" s="5" t="n">
        <v>0</v>
      </c>
      <c r="E12" s="5" t="n">
        <v>-761</v>
      </c>
      <c r="F12" s="5" t="n">
        <v>-147</v>
      </c>
      <c r="G12" s="5" t="n">
        <v>-12278</v>
      </c>
      <c r="H12" s="5" t="n">
        <v>0</v>
      </c>
    </row>
    <row r="13">
      <c r="A13" t="inlineStr">
        <is>
          <t>debt_issued</t>
        </is>
      </c>
      <c r="B13" s="5" t="n">
        <v>7007</v>
      </c>
      <c r="C13" s="5" t="n">
        <v>3022</v>
      </c>
      <c r="D13" s="5" t="n">
        <v>3296</v>
      </c>
      <c r="E13" s="5" t="n">
        <v>4725</v>
      </c>
      <c r="F13" s="5" t="n">
        <v>11245</v>
      </c>
      <c r="G13" s="5" t="n">
        <v>9188</v>
      </c>
      <c r="H13" s="5" t="n">
        <v>6401</v>
      </c>
    </row>
    <row r="14">
      <c r="A14" t="inlineStr">
        <is>
          <t>debt_repaid</t>
        </is>
      </c>
      <c r="B14" s="5" t="n">
        <v>-5099</v>
      </c>
      <c r="C14" s="5" t="n">
        <v>-5465</v>
      </c>
      <c r="D14" s="5" t="n">
        <v>-3992</v>
      </c>
      <c r="E14" s="5" t="n">
        <v>-4887</v>
      </c>
      <c r="F14" s="5" t="n">
        <v>-5475</v>
      </c>
      <c r="G14" s="5" t="n">
        <v>-6837</v>
      </c>
      <c r="H14" s="5" t="n">
        <v>-9860</v>
      </c>
    </row>
    <row r="15">
      <c r="A15" t="inlineStr">
        <is>
          <t>preferred_issued</t>
        </is>
      </c>
      <c r="B15" s="5" t="n"/>
      <c r="C15" s="5" t="n"/>
      <c r="D15" s="5" t="n">
        <v>0</v>
      </c>
      <c r="E15" s="5" t="n">
        <v>0</v>
      </c>
      <c r="F15" s="5" t="n">
        <v>1462</v>
      </c>
      <c r="G15" s="5" t="n">
        <v>0</v>
      </c>
      <c r="H15" s="5" t="n">
        <v>0</v>
      </c>
    </row>
    <row r="16">
      <c r="A16" t="inlineStr">
        <is>
          <t>buybacks</t>
        </is>
      </c>
      <c r="B16" s="5" t="n">
        <v>-355</v>
      </c>
      <c r="C16" s="5" t="n">
        <v>-213</v>
      </c>
      <c r="D16" s="5" t="n">
        <v>-512</v>
      </c>
      <c r="E16" s="5" t="n">
        <v>-421</v>
      </c>
      <c r="F16" s="5" t="n">
        <v>-150</v>
      </c>
      <c r="G16" s="5" t="n">
        <v>-202</v>
      </c>
      <c r="H16" s="5" t="n">
        <v>-547</v>
      </c>
    </row>
    <row r="17">
      <c r="A17" t="inlineStr">
        <is>
          <t>dividends_common</t>
        </is>
      </c>
      <c r="B17" s="5" t="n">
        <v>-618</v>
      </c>
      <c r="C17" s="5" t="n">
        <v>-625</v>
      </c>
      <c r="D17" s="5" t="n">
        <v>-621</v>
      </c>
      <c r="E17" s="5" t="n">
        <v>-619</v>
      </c>
      <c r="F17" s="5" t="n">
        <v>-676</v>
      </c>
      <c r="G17" s="5" t="n">
        <v>-684</v>
      </c>
      <c r="H17" s="5" t="n">
        <v>-739</v>
      </c>
    </row>
    <row r="18">
      <c r="A18" t="inlineStr">
        <is>
          <t>dividends_preferred</t>
        </is>
      </c>
      <c r="B18" s="5" t="n"/>
      <c r="C18" s="5" t="n"/>
      <c r="D18" s="5" t="n"/>
      <c r="E18" s="5" t="n">
        <v>0</v>
      </c>
      <c r="F18" s="5" t="n">
        <v>0</v>
      </c>
      <c r="G18" s="5" t="n">
        <v>-112</v>
      </c>
      <c r="H18" s="5" t="n">
        <v>-116</v>
      </c>
    </row>
    <row r="19">
      <c r="A19" t="inlineStr">
        <is>
          <t>wc_receivables</t>
        </is>
      </c>
      <c r="B19" s="5" t="n">
        <v>-461</v>
      </c>
      <c r="C19" s="5" t="n">
        <v>-591</v>
      </c>
      <c r="D19" s="5" t="n">
        <v>-186</v>
      </c>
      <c r="E19" s="5" t="n">
        <v>577</v>
      </c>
      <c r="F19" s="5" t="n">
        <v>-83</v>
      </c>
      <c r="G19" s="5" t="n">
        <v>-700</v>
      </c>
      <c r="H19" s="5" t="n">
        <v>-567</v>
      </c>
    </row>
    <row r="20">
      <c r="A20" t="inlineStr">
        <is>
          <t>wc_financing_receivables</t>
        </is>
      </c>
      <c r="B20" s="5" t="n">
        <v>-487</v>
      </c>
      <c r="C20" s="5" t="n">
        <v>-165</v>
      </c>
      <c r="D20" s="5" t="n">
        <v>694</v>
      </c>
      <c r="E20" s="5" t="n">
        <v>-607</v>
      </c>
      <c r="F20" s="5" t="n">
        <v>-909</v>
      </c>
      <c r="G20" s="5" t="n">
        <v>-153</v>
      </c>
      <c r="H20" s="5" t="n">
        <v>-374</v>
      </c>
    </row>
    <row r="21">
      <c r="A21" t="inlineStr">
        <is>
          <t>wc_inventory</t>
        </is>
      </c>
      <c r="B21" s="5" t="n">
        <v>-527</v>
      </c>
      <c r="C21" s="5" t="n">
        <v>-1959</v>
      </c>
      <c r="D21" s="5" t="n">
        <v>-713</v>
      </c>
      <c r="E21" s="5" t="n">
        <v>400</v>
      </c>
      <c r="F21" s="5" t="n">
        <v>-3358</v>
      </c>
      <c r="G21" s="5" t="n">
        <v>1783</v>
      </c>
      <c r="H21" s="5" t="n">
        <v>-5449</v>
      </c>
    </row>
    <row r="22">
      <c r="A22" t="inlineStr">
        <is>
          <t>wc_payables</t>
        </is>
      </c>
      <c r="B22" s="5" t="n">
        <v>-225</v>
      </c>
      <c r="C22" s="5" t="n">
        <v>1608</v>
      </c>
      <c r="D22" s="5" t="n">
        <v>1707</v>
      </c>
      <c r="E22" s="5" t="n">
        <v>-1655</v>
      </c>
      <c r="F22" s="5" t="n">
        <v>3927</v>
      </c>
      <c r="G22" s="5" t="n">
        <v>-3468</v>
      </c>
      <c r="H22" s="5" t="n">
        <v>4997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HPE — ratios (live formulas)</t>
        </is>
      </c>
    </row>
    <row r="2">
      <c r="A2" s="2" t="inlineStr">
        <is>
          <t>Formulas reference the statement sheets</t>
        </is>
      </c>
    </row>
    <row r="4">
      <c r="A4" s="3" t="inlineStr">
        <is>
          <t>Ratio</t>
        </is>
      </c>
      <c r="B4" s="4" t="inlineStr">
        <is>
          <t>FY2020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</t>
        </is>
      </c>
      <c r="H4" s="4" t="inlineStr">
        <is>
          <t>TTM Q3 FY26</t>
        </is>
      </c>
    </row>
    <row r="5">
      <c r="A5" t="inlineStr">
        <is>
          <t>Revenue growth YoY</t>
        </is>
      </c>
      <c r="C5" s="7">
        <f>'Income statement'!$C$5/'Income statement'!$B$5-1</f>
        <v/>
      </c>
      <c r="D5" s="7">
        <f>'Income statement'!$D$5/'Income statement'!$C$5-1</f>
        <v/>
      </c>
      <c r="E5" s="7">
        <f>'Income statement'!$E$5/'Income statement'!$D$5-1</f>
        <v/>
      </c>
      <c r="F5" s="7">
        <f>'Income statement'!$F$5/'Income statement'!$E$5-1</f>
        <v/>
      </c>
      <c r="G5" s="7">
        <f>'Income statement'!$G$5/'Income statement'!$F$5-1</f>
        <v/>
      </c>
    </row>
    <row r="6">
      <c r="A6" t="inlineStr">
        <is>
          <t>Gross margin (GAAP)</t>
        </is>
      </c>
      <c r="B6" s="7">
        <f>'Income statement'!$B$10/'Income statement'!$B$5</f>
        <v/>
      </c>
      <c r="C6" s="7">
        <f>'Income statement'!$C$10/'Income statement'!$C$5</f>
        <v/>
      </c>
      <c r="D6" s="7">
        <f>'Income statement'!$D$10/'Income statement'!$D$5</f>
        <v/>
      </c>
      <c r="E6" s="7">
        <f>'Income statement'!$E$10/'Income statement'!$E$5</f>
        <v/>
      </c>
      <c r="F6" s="7">
        <f>'Income statement'!$F$10/'Income statement'!$F$5</f>
        <v/>
      </c>
      <c r="G6" s="7">
        <f>'Income statement'!$G$10/'Income statement'!$G$5</f>
        <v/>
      </c>
      <c r="H6" s="7">
        <f>'Income statement'!$H$10/'Income statement'!$H$5</f>
        <v/>
      </c>
    </row>
    <row r="7">
      <c r="A7" t="inlineStr">
        <is>
          <t>Gross margin (non-GAAP)</t>
        </is>
      </c>
      <c r="B7" s="7">
        <f>'Income statement'!$B$30/'Income statement'!$B$5</f>
        <v/>
      </c>
      <c r="C7" s="7">
        <f>'Income statement'!$C$30/'Income statement'!$C$5</f>
        <v/>
      </c>
      <c r="D7" s="7">
        <f>'Income statement'!$D$30/'Income statement'!$D$5</f>
        <v/>
      </c>
      <c r="E7" s="7">
        <f>'Income statement'!$E$30/'Income statement'!$E$5</f>
        <v/>
      </c>
      <c r="F7" s="7">
        <f>'Income statement'!$F$30/'Income statement'!$F$5</f>
        <v/>
      </c>
      <c r="G7" s="7">
        <f>'Income statement'!$G$30/'Income statement'!$G$5</f>
        <v/>
      </c>
      <c r="H7" s="7">
        <f>'Income statement'!$H$30/'Income statement'!$H$5</f>
        <v/>
      </c>
    </row>
    <row r="8">
      <c r="A8" t="inlineStr">
        <is>
          <t>Operating margin (GAAP)</t>
        </is>
      </c>
      <c r="B8" s="7">
        <f>'Income statement'!$B$18/'Income statement'!$B$5</f>
        <v/>
      </c>
      <c r="C8" s="7">
        <f>'Income statement'!$C$18/'Income statement'!$C$5</f>
        <v/>
      </c>
      <c r="D8" s="7">
        <f>'Income statement'!$D$18/'Income statement'!$D$5</f>
        <v/>
      </c>
      <c r="E8" s="7">
        <f>'Income statement'!$E$18/'Income statement'!$E$5</f>
        <v/>
      </c>
      <c r="F8" s="7">
        <f>'Income statement'!$F$18/'Income statement'!$F$5</f>
        <v/>
      </c>
      <c r="G8" s="7">
        <f>'Income statement'!$G$18/'Income statement'!$G$5</f>
        <v/>
      </c>
      <c r="H8" s="7">
        <f>'Income statement'!$H$18/'Income statement'!$H$5</f>
        <v/>
      </c>
    </row>
    <row r="9">
      <c r="A9" t="inlineStr">
        <is>
          <t>Operating margin (non-GAAP)</t>
        </is>
      </c>
      <c r="B9" s="7">
        <f>'Income statement'!$B$31/'Income statement'!$B$5</f>
        <v/>
      </c>
      <c r="C9" s="7">
        <f>'Income statement'!$C$31/'Income statement'!$C$5</f>
        <v/>
      </c>
      <c r="D9" s="7">
        <f>'Income statement'!$D$31/'Income statement'!$D$5</f>
        <v/>
      </c>
      <c r="E9" s="7">
        <f>'Income statement'!$E$31/'Income statement'!$E$5</f>
        <v/>
      </c>
      <c r="F9" s="7">
        <f>'Income statement'!$F$31/'Income statement'!$F$5</f>
        <v/>
      </c>
      <c r="G9" s="7">
        <f>'Income statement'!$G$31/'Income statement'!$G$5</f>
        <v/>
      </c>
      <c r="H9" s="7">
        <f>'Income statement'!$H$31/'Income statement'!$H$5</f>
        <v/>
      </c>
    </row>
    <row r="10">
      <c r="A10" t="inlineStr">
        <is>
          <t>Net margin</t>
        </is>
      </c>
      <c r="B10" s="7">
        <f>'Income statement'!$B$20/'Income statement'!$B$5</f>
        <v/>
      </c>
      <c r="C10" s="7">
        <f>'Income statement'!$C$20/'Income statement'!$C$5</f>
        <v/>
      </c>
      <c r="D10" s="7">
        <f>'Income statement'!$D$20/'Income statement'!$D$5</f>
        <v/>
      </c>
      <c r="E10" s="7">
        <f>'Income statement'!$E$20/'Income statement'!$E$5</f>
        <v/>
      </c>
      <c r="F10" s="7">
        <f>'Income statement'!$F$20/'Income statement'!$F$5</f>
        <v/>
      </c>
      <c r="G10" s="7">
        <f>'Income statement'!$G$20/'Income statement'!$G$5</f>
        <v/>
      </c>
      <c r="H10" s="7">
        <f>'Income statement'!$H$20/'Income statement'!$H$5</f>
        <v/>
      </c>
    </row>
    <row r="11">
      <c r="A11" t="inlineStr">
        <is>
          <t>EBITDA margin (GAAP OP + D&amp;A)</t>
        </is>
      </c>
      <c r="B11" s="7">
        <f>'Income statement'!$B$27/'Income statement'!$B$5</f>
        <v/>
      </c>
      <c r="C11" s="7">
        <f>'Income statement'!$C$27/'Income statement'!$C$5</f>
        <v/>
      </c>
      <c r="D11" s="7">
        <f>'Income statement'!$D$27/'Income statement'!$D$5</f>
        <v/>
      </c>
      <c r="E11" s="7">
        <f>'Income statement'!$E$27/'Income statement'!$E$5</f>
        <v/>
      </c>
      <c r="F11" s="7">
        <f>'Income statement'!$F$27/'Income statement'!$F$5</f>
        <v/>
      </c>
      <c r="G11" s="7">
        <f>'Income statement'!$G$27/'Income statement'!$G$5</f>
        <v/>
      </c>
      <c r="H11" s="7">
        <f>'Income statement'!$H$27/'Income statement'!$H$5</f>
        <v/>
      </c>
    </row>
    <row r="12">
      <c r="A12" t="inlineStr">
        <is>
          <t>FCF margin (HPE definition)</t>
        </is>
      </c>
      <c r="B12" s="7">
        <f>'Cash flow'!$B$10/'Income statement'!$B$5</f>
        <v/>
      </c>
      <c r="C12" s="7">
        <f>'Cash flow'!$C$10/'Income statement'!$C$5</f>
        <v/>
      </c>
      <c r="D12" s="7">
        <f>'Cash flow'!$D$10/'Income statement'!$D$5</f>
        <v/>
      </c>
      <c r="E12" s="7">
        <f>'Cash flow'!$E$10/'Income statement'!$E$5</f>
        <v/>
      </c>
      <c r="F12" s="7">
        <f>'Cash flow'!$F$10/'Income statement'!$F$5</f>
        <v/>
      </c>
      <c r="G12" s="7">
        <f>'Cash flow'!$G$10/'Income statement'!$G$5</f>
        <v/>
      </c>
      <c r="H12" s="7">
        <f>'Cash flow'!$H$10/'Income statement'!$H$5</f>
        <v/>
      </c>
    </row>
    <row r="13">
      <c r="A13" t="inlineStr">
        <is>
          <t>SBC % revenue</t>
        </is>
      </c>
      <c r="B13" s="7">
        <f>'Income statement'!$B$26/'Income statement'!$B$5</f>
        <v/>
      </c>
      <c r="C13" s="7">
        <f>'Income statement'!$C$26/'Income statement'!$C$5</f>
        <v/>
      </c>
      <c r="D13" s="7">
        <f>'Income statement'!$D$26/'Income statement'!$D$5</f>
        <v/>
      </c>
      <c r="E13" s="7">
        <f>'Income statement'!$E$26/'Income statement'!$E$5</f>
        <v/>
      </c>
      <c r="F13" s="7">
        <f>'Income statement'!$F$26/'Income statement'!$F$5</f>
        <v/>
      </c>
      <c r="G13" s="7">
        <f>'Income statement'!$G$26/'Income statement'!$G$5</f>
        <v/>
      </c>
      <c r="H13" s="7">
        <f>'Income statement'!$H$26/'Income statement'!$H$5</f>
        <v/>
      </c>
    </row>
    <row r="14">
      <c r="A14" t="inlineStr">
        <is>
          <t>R&amp;D % revenue</t>
        </is>
      </c>
      <c r="B14" s="7">
        <f>'Income statement'!$B$11/'Income statement'!$B$5</f>
        <v/>
      </c>
      <c r="C14" s="7">
        <f>'Income statement'!$C$11/'Income statement'!$C$5</f>
        <v/>
      </c>
      <c r="D14" s="7">
        <f>'Income statement'!$D$11/'Income statement'!$D$5</f>
        <v/>
      </c>
      <c r="E14" s="7">
        <f>'Income statement'!$E$11/'Income statement'!$E$5</f>
        <v/>
      </c>
      <c r="F14" s="7">
        <f>'Income statement'!$F$11/'Income statement'!$F$5</f>
        <v/>
      </c>
      <c r="G14" s="7">
        <f>'Income statement'!$G$11/'Income statement'!$G$5</f>
        <v/>
      </c>
      <c r="H14" s="7">
        <f>'Income statement'!$H$11/'Income statement'!$H$5</f>
        <v/>
      </c>
    </row>
    <row r="15">
      <c r="A15" t="inlineStr">
        <is>
          <t>Net capex % revenue</t>
        </is>
      </c>
      <c r="B15" s="7">
        <f>-'Cash flow'!$B$8/'Income statement'!$B$5</f>
        <v/>
      </c>
      <c r="C15" s="7">
        <f>-'Cash flow'!$C$8/'Income statement'!$C$5</f>
        <v/>
      </c>
      <c r="D15" s="7">
        <f>-'Cash flow'!$D$8/'Income statement'!$D$5</f>
        <v/>
      </c>
      <c r="E15" s="7">
        <f>-'Cash flow'!$E$8/'Income statement'!$E$5</f>
        <v/>
      </c>
      <c r="F15" s="7">
        <f>-'Cash flow'!$F$8/'Income statement'!$F$5</f>
        <v/>
      </c>
      <c r="G15" s="7">
        <f>-'Cash flow'!$G$8/'Income statement'!$G$5</f>
        <v/>
      </c>
      <c r="H15" s="7">
        <f>-'Cash flow'!$H$8/'Income statement'!$H$5</f>
        <v/>
      </c>
    </row>
    <row r="16">
      <c r="A16" t="inlineStr">
        <is>
          <t>Current ratio</t>
        </is>
      </c>
      <c r="B16" s="8">
        <f>'Balance sheet'!$B$9/'Balance sheet'!$B$17</f>
        <v/>
      </c>
      <c r="C16" s="8">
        <f>'Balance sheet'!$C$9/'Balance sheet'!$C$17</f>
        <v/>
      </c>
      <c r="D16" s="8">
        <f>'Balance sheet'!$D$9/'Balance sheet'!$D$17</f>
        <v/>
      </c>
      <c r="E16" s="8">
        <f>'Balance sheet'!$E$9/'Balance sheet'!$E$17</f>
        <v/>
      </c>
      <c r="F16" s="8">
        <f>'Balance sheet'!$F$9/'Balance sheet'!$F$17</f>
        <v/>
      </c>
      <c r="G16" s="8">
        <f>'Balance sheet'!$G$9/'Balance sheet'!$G$17</f>
        <v/>
      </c>
      <c r="H16" s="8">
        <f>'Balance sheet'!$H$9/'Balance sheet'!$H$17</f>
        <v/>
      </c>
    </row>
    <row r="17">
      <c r="A17" t="inlineStr">
        <is>
          <t>Debt / equity</t>
        </is>
      </c>
      <c r="B17" s="8">
        <f>'Balance sheet'!$B$19/'Balance sheet'!$B$22</f>
        <v/>
      </c>
      <c r="C17" s="8">
        <f>'Balance sheet'!$C$19/'Balance sheet'!$C$22</f>
        <v/>
      </c>
      <c r="D17" s="8">
        <f>'Balance sheet'!$D$19/'Balance sheet'!$D$22</f>
        <v/>
      </c>
      <c r="E17" s="8">
        <f>'Balance sheet'!$E$19/'Balance sheet'!$E$22</f>
        <v/>
      </c>
      <c r="F17" s="8">
        <f>'Balance sheet'!$F$19/'Balance sheet'!$F$22</f>
        <v/>
      </c>
      <c r="G17" s="8">
        <f>'Balance sheet'!$G$19/'Balance sheet'!$G$22</f>
        <v/>
      </c>
      <c r="H17" s="8">
        <f>'Balance sheet'!$H$19/'Balance sheet'!$H$22</f>
        <v/>
      </c>
    </row>
    <row r="18">
      <c r="A18" t="inlineStr">
        <is>
          <t>Net debt / adj. EBITDA (analyst)</t>
        </is>
      </c>
      <c r="B18" s="8">
        <f>'Balance sheet'!$B$20/'Income statement'!$B$29</f>
        <v/>
      </c>
      <c r="C18" s="8">
        <f>'Balance sheet'!$C$20/'Income statement'!$C$29</f>
        <v/>
      </c>
      <c r="D18" s="8">
        <f>'Balance sheet'!$D$20/'Income statement'!$D$29</f>
        <v/>
      </c>
      <c r="E18" s="8">
        <f>'Balance sheet'!$E$20/'Income statement'!$E$29</f>
        <v/>
      </c>
      <c r="F18" s="8">
        <f>'Balance sheet'!$F$20/'Income statement'!$F$29</f>
        <v/>
      </c>
      <c r="G18" s="8">
        <f>'Balance sheet'!$G$20/'Income statement'!$G$29</f>
        <v/>
      </c>
      <c r="H18" s="8">
        <f>'Balance sheet'!$H$20/'Income statement'!$H$29</f>
        <v/>
      </c>
    </row>
    <row r="19">
      <c r="A19" t="inlineStr">
        <is>
          <t>DSO (days)</t>
        </is>
      </c>
      <c r="B19" s="9">
        <f>'Balance sheet'!$B$6/'Income statement'!$B$5*365</f>
        <v/>
      </c>
      <c r="C19" s="9">
        <f>'Balance sheet'!$C$6/'Income statement'!$C$5*365</f>
        <v/>
      </c>
      <c r="D19" s="9">
        <f>'Balance sheet'!$D$6/'Income statement'!$D$5*365</f>
        <v/>
      </c>
      <c r="E19" s="9">
        <f>'Balance sheet'!$E$6/'Income statement'!$E$5*365</f>
        <v/>
      </c>
      <c r="F19" s="9">
        <f>'Balance sheet'!$F$6/'Income statement'!$F$5*365</f>
        <v/>
      </c>
      <c r="G19" s="9">
        <f>'Balance sheet'!$G$6/'Income statement'!$G$5*365</f>
        <v/>
      </c>
      <c r="H19" s="9">
        <f>'Balance sheet'!$H$6/'Income statement'!$H$5*365</f>
        <v/>
      </c>
    </row>
    <row r="20">
      <c r="A20" t="inlineStr">
        <is>
          <t>DIO (days)</t>
        </is>
      </c>
      <c r="B20" s="9">
        <f>'Balance sheet'!$B$8/'Income statement'!$B$9*365</f>
        <v/>
      </c>
      <c r="C20" s="9">
        <f>'Balance sheet'!$C$8/'Income statement'!$C$9*365</f>
        <v/>
      </c>
      <c r="D20" s="9">
        <f>'Balance sheet'!$D$8/'Income statement'!$D$9*365</f>
        <v/>
      </c>
      <c r="E20" s="9">
        <f>'Balance sheet'!$E$8/'Income statement'!$E$9*365</f>
        <v/>
      </c>
      <c r="F20" s="9">
        <f>'Balance sheet'!$F$8/'Income statement'!$F$9*365</f>
        <v/>
      </c>
      <c r="G20" s="9">
        <f>'Balance sheet'!$G$8/'Income statement'!$G$9*365</f>
        <v/>
      </c>
      <c r="H20" s="9">
        <f>'Balance sheet'!$H$8/'Income statement'!$H$9*365</f>
        <v/>
      </c>
    </row>
    <row r="21">
      <c r="A21" t="inlineStr">
        <is>
          <t>DPO (days)</t>
        </is>
      </c>
      <c r="B21" s="9">
        <f>'Balance sheet'!$B$15/'Income statement'!$B$9*365</f>
        <v/>
      </c>
      <c r="C21" s="9">
        <f>'Balance sheet'!$C$15/'Income statement'!$C$9*365</f>
        <v/>
      </c>
      <c r="D21" s="9">
        <f>'Balance sheet'!$D$15/'Income statement'!$D$9*365</f>
        <v/>
      </c>
      <c r="E21" s="9">
        <f>'Balance sheet'!$E$15/'Income statement'!$E$9*365</f>
        <v/>
      </c>
      <c r="F21" s="9">
        <f>'Balance sheet'!$F$15/'Income statement'!$F$9*365</f>
        <v/>
      </c>
      <c r="G21" s="9">
        <f>'Balance sheet'!$G$15/'Income statement'!$G$9*365</f>
        <v/>
      </c>
      <c r="H21" s="9">
        <f>'Balance sheet'!$H$15/'Income statement'!$H$9*365</f>
        <v/>
      </c>
    </row>
    <row r="22">
      <c r="A22" t="inlineStr">
        <is>
          <t>FCF / diluted share ($)</t>
        </is>
      </c>
      <c r="B22" s="10">
        <f>'Cash flow'!$B$10/'Income statement'!$B$24</f>
        <v/>
      </c>
      <c r="C22" s="10">
        <f>'Cash flow'!$C$10/'Income statement'!$C$24</f>
        <v/>
      </c>
      <c r="D22" s="10">
        <f>'Cash flow'!$D$10/'Income statement'!$D$24</f>
        <v/>
      </c>
      <c r="E22" s="10">
        <f>'Cash flow'!$E$10/'Income statement'!$E$24</f>
        <v/>
      </c>
      <c r="F22" s="10">
        <f>'Cash flow'!$F$10/'Income statement'!$F$24</f>
        <v/>
      </c>
      <c r="G22" s="10">
        <f>'Cash flow'!$G$10/'Income statement'!$G$24</f>
        <v/>
      </c>
      <c r="H22" s="10">
        <f>'Cash flow'!$H$10/'Income statement'!$H$24</f>
        <v/>
      </c>
    </row>
    <row r="23">
      <c r="A23" t="inlineStr">
        <is>
          <t>Goodwill &amp; intangibles % assets</t>
        </is>
      </c>
      <c r="B23" s="7">
        <f>'Balance sheet'!$B$12/'Balance sheet'!$B$13</f>
        <v/>
      </c>
      <c r="C23" s="7">
        <f>'Balance sheet'!$C$12/'Balance sheet'!$C$13</f>
        <v/>
      </c>
      <c r="D23" s="7">
        <f>'Balance sheet'!$D$12/'Balance sheet'!$D$13</f>
        <v/>
      </c>
      <c r="E23" s="7">
        <f>'Balance sheet'!$E$12/'Balance sheet'!$E$13</f>
        <v/>
      </c>
      <c r="F23" s="7">
        <f>'Balance sheet'!$F$12/'Balance sheet'!$F$13</f>
        <v/>
      </c>
      <c r="G23" s="7">
        <f>'Balance sheet'!$G$12/'Balance sheet'!$G$13</f>
        <v/>
      </c>
      <c r="H23" s="7">
        <f>'Balance sheet'!$H$12/'Balance sheet'!$H$13</f>
        <v/>
      </c>
    </row>
    <row r="26">
      <c r="A26" s="11" t="inlineStr">
        <is>
          <t>Note: TTM growth vs FY2025 is not a like-for-like YoY rate (TTM vs prior TTM = +30.8%).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Company-reported non-GAAP measures</t>
        </is>
      </c>
    </row>
    <row r="2">
      <c r="A2" s="2" t="inlineStr">
        <is>
          <t>Keyed from Q4 earnings releases and the Q3 FY26 release</t>
        </is>
      </c>
    </row>
    <row r="4">
      <c r="A4" s="3" t="inlineStr"/>
      <c r="B4" s="4" t="inlineStr">
        <is>
          <t>metric</t>
        </is>
      </c>
      <c r="C4" s="4" t="inlineStr">
        <is>
          <t>value</t>
        </is>
      </c>
      <c r="D4" s="4" t="inlineStr">
        <is>
          <t>source_file</t>
        </is>
      </c>
      <c r="E4" s="4" t="inlineStr">
        <is>
          <t>note</t>
        </is>
      </c>
    </row>
    <row r="5">
      <c r="A5" t="inlineStr">
        <is>
          <t>FY2020</t>
        </is>
      </c>
      <c r="B5" s="12" t="inlineStr">
        <is>
          <t>non_gaap_gross_profit</t>
        </is>
      </c>
      <c r="C5" s="12" t="n">
        <v>8543</v>
      </c>
      <c r="D5" s="12" t="inlineStr">
        <is>
          <t>report/earnings_materials/sec_8k_ex99/HPE_8-K_Ex99-1_earnings_2021-11-30.htm</t>
        </is>
      </c>
      <c r="E5" s="12" t="n"/>
    </row>
    <row r="6">
      <c r="A6" t="inlineStr">
        <is>
          <t>FY2020</t>
        </is>
      </c>
      <c r="B6" s="12" t="inlineStr">
        <is>
          <t>non_gaap_operating_profit</t>
        </is>
      </c>
      <c r="C6" s="12" t="n">
        <v>2282</v>
      </c>
      <c r="D6" s="12" t="inlineStr">
        <is>
          <t>report/earnings_materials/sec_8k_ex99/HPE_8-K_Ex99-1_earnings_2021-11-30.htm</t>
        </is>
      </c>
      <c r="E6" s="12" t="n"/>
    </row>
    <row r="7">
      <c r="A7" t="inlineStr">
        <is>
          <t>FY2020</t>
        </is>
      </c>
      <c r="B7" s="12" t="inlineStr">
        <is>
          <t>non_gaap_net_earnings_hpe</t>
        </is>
      </c>
      <c r="C7" s="12" t="n">
        <v>2005</v>
      </c>
      <c r="D7" s="12" t="inlineStr">
        <is>
          <t>report/earnings_materials/sec_8k_ex99/HPE_8-K_Ex99-1_earnings_2021-11-30.htm</t>
        </is>
      </c>
      <c r="E7" s="12" t="n"/>
    </row>
    <row r="8">
      <c r="A8" t="inlineStr">
        <is>
          <t>FY2020</t>
        </is>
      </c>
      <c r="B8" s="12" t="inlineStr">
        <is>
          <t>non_gaap_diluted_eps</t>
        </is>
      </c>
      <c r="C8" s="12" t="n">
        <v>1.54</v>
      </c>
      <c r="D8" s="12" t="inlineStr">
        <is>
          <t>report/earnings_materials/sec_8k_ex99/HPE_8-K_Ex99-1_earnings_2021-11-30.htm</t>
        </is>
      </c>
      <c r="E8" s="12" t="n"/>
    </row>
    <row r="9">
      <c r="A9" t="inlineStr">
        <is>
          <t>FY2020</t>
        </is>
      </c>
      <c r="B9" s="12" t="inlineStr">
        <is>
          <t>free_cash_flow_reported</t>
        </is>
      </c>
      <c r="C9" s="12" t="n">
        <v>560</v>
      </c>
      <c r="D9" s="12" t="inlineStr">
        <is>
          <t>report/earnings_materials/sec_8k_ex99/HPE_8-K_Ex99-1_earnings_2021-11-30.htm</t>
        </is>
      </c>
      <c r="E9" s="12" t="n"/>
    </row>
    <row r="10">
      <c r="A10" t="inlineStr">
        <is>
          <t>FY2021</t>
        </is>
      </c>
      <c r="B10" s="12" t="inlineStr">
        <is>
          <t>non_gaap_gross_profit</t>
        </is>
      </c>
      <c r="C10" s="12" t="n">
        <v>9424</v>
      </c>
      <c r="D10" s="12" t="inlineStr">
        <is>
          <t>report/earnings_materials/sec_8k_ex99/HPE_8-K_Ex99-1_earnings_2022-11-29.htm</t>
        </is>
      </c>
      <c r="E10" s="12" t="n"/>
    </row>
    <row r="11">
      <c r="A11" t="inlineStr">
        <is>
          <t>FY2021</t>
        </is>
      </c>
      <c r="B11" s="12" t="inlineStr">
        <is>
          <t>non_gaap_operating_profit</t>
        </is>
      </c>
      <c r="C11" s="12" t="n">
        <v>2848</v>
      </c>
      <c r="D11" s="12" t="inlineStr">
        <is>
          <t>report/earnings_materials/sec_8k_ex99/HPE_8-K_Ex99-1_earnings_2022-11-29.htm</t>
        </is>
      </c>
      <c r="E11" s="12" t="n"/>
    </row>
    <row r="12">
      <c r="A12" t="inlineStr">
        <is>
          <t>FY2021</t>
        </is>
      </c>
      <c r="B12" s="12" t="inlineStr">
        <is>
          <t>non_gaap_net_earnings_hpe</t>
        </is>
      </c>
      <c r="C12" s="12" t="n">
        <v>2602</v>
      </c>
      <c r="D12" s="12" t="inlineStr">
        <is>
          <t>report/earnings_materials/sec_8k_ex99/HPE_8-K_Ex99-1_earnings_2022-11-29.htm</t>
        </is>
      </c>
      <c r="E12" s="12" t="n"/>
    </row>
    <row r="13">
      <c r="A13" t="inlineStr">
        <is>
          <t>FY2021</t>
        </is>
      </c>
      <c r="B13" s="12" t="inlineStr">
        <is>
          <t>non_gaap_diluted_eps</t>
        </is>
      </c>
      <c r="C13" s="12" t="n">
        <v>1.96</v>
      </c>
      <c r="D13" s="12" t="inlineStr">
        <is>
          <t>report/earnings_materials/sec_8k_ex99/HPE_8-K_Ex99-1_earnings_2022-11-29.htm</t>
        </is>
      </c>
      <c r="E13" s="12" t="n"/>
    </row>
    <row r="14">
      <c r="A14" t="inlineStr">
        <is>
          <t>FY2021</t>
        </is>
      </c>
      <c r="B14" s="12" t="inlineStr">
        <is>
          <t>free_cash_flow_reported</t>
        </is>
      </c>
      <c r="C14" s="12" t="n">
        <v>1551</v>
      </c>
      <c r="D14" s="12" t="inlineStr">
        <is>
          <t>report/earnings_materials/sec_8k_ex99/HPE_8-K_Ex99-1_earnings_2022-11-29.htm</t>
        </is>
      </c>
      <c r="E14" s="12" t="inlineStr">
        <is>
          <t>Explained difference: CFO-based FCF is $3,723m; the $2.17bn gap is consistent with FY21 Oracle litigation-judgment cash (GAAP line $2,351m) being excluded from reported FCF (analyst reconciliation)</t>
        </is>
      </c>
    </row>
    <row r="15">
      <c r="A15" t="inlineStr">
        <is>
          <t>FY2022</t>
        </is>
      </c>
      <c r="B15" s="12" t="inlineStr">
        <is>
          <t>non_gaap_gross_profit</t>
        </is>
      </c>
      <c r="C15" s="12" t="n">
        <v>9667</v>
      </c>
      <c r="D15" s="12" t="inlineStr">
        <is>
          <t>report/earnings_materials/sec_8k_ex99/HPE_8-K_Ex99-1_earnings_2023-11-28.htm</t>
        </is>
      </c>
      <c r="E15" s="12" t="n"/>
    </row>
    <row r="16">
      <c r="A16" t="inlineStr">
        <is>
          <t>FY2022</t>
        </is>
      </c>
      <c r="B16" s="12" t="inlineStr">
        <is>
          <t>non_gaap_operating_profit</t>
        </is>
      </c>
      <c r="C16" s="12" t="n">
        <v>3026</v>
      </c>
      <c r="D16" s="12" t="inlineStr">
        <is>
          <t>report/earnings_materials/sec_8k_ex99/HPE_8-K_Ex99-1_earnings_2023-11-28.htm</t>
        </is>
      </c>
      <c r="E16" s="12" t="n"/>
    </row>
    <row r="17">
      <c r="A17" t="inlineStr">
        <is>
          <t>FY2022</t>
        </is>
      </c>
      <c r="B17" s="12" t="inlineStr">
        <is>
          <t>non_gaap_net_earnings_hpe</t>
        </is>
      </c>
      <c r="C17" s="12" t="n">
        <v>2664</v>
      </c>
      <c r="D17" s="12" t="inlineStr">
        <is>
          <t>report/earnings_materials/sec_8k_ex99/HPE_8-K_Ex99-1_earnings_2023-11-28.htm</t>
        </is>
      </c>
      <c r="E17" s="12" t="n"/>
    </row>
    <row r="18">
      <c r="A18" t="inlineStr">
        <is>
          <t>FY2022</t>
        </is>
      </c>
      <c r="B18" s="12" t="inlineStr">
        <is>
          <t>non_gaap_diluted_eps</t>
        </is>
      </c>
      <c r="C18" s="12" t="n">
        <v>2.02</v>
      </c>
      <c r="D18" s="12" t="inlineStr">
        <is>
          <t>report/earnings_materials/sec_8k_ex99/HPE_8-K_Ex99-1_earnings_2023-11-28.htm</t>
        </is>
      </c>
      <c r="E18" s="12" t="n"/>
    </row>
    <row r="19">
      <c r="A19" t="inlineStr">
        <is>
          <t>FY2022</t>
        </is>
      </c>
      <c r="B19" s="12" t="inlineStr">
        <is>
          <t>free_cash_flow_reported</t>
        </is>
      </c>
      <c r="C19" s="12" t="n">
        <v>1794</v>
      </c>
      <c r="D19" s="12" t="inlineStr">
        <is>
          <t>report/earnings_materials/sec_8k_ex99/HPE_8-K_Ex99-1_earnings_2023-11-28.htm</t>
        </is>
      </c>
      <c r="E19" s="12" t="n"/>
    </row>
    <row r="20">
      <c r="A20" t="inlineStr">
        <is>
          <t>FY2023</t>
        </is>
      </c>
      <c r="B20" s="12" t="inlineStr">
        <is>
          <t>non_gaap_gross_profit</t>
        </is>
      </c>
      <c r="C20" s="12" t="n">
        <v>10273</v>
      </c>
      <c r="D20" s="12" t="inlineStr">
        <is>
          <t>report/earnings_materials/sec_8k_ex99/HPE_8-K_Ex99-1_earnings_2024-12-05.htm</t>
        </is>
      </c>
      <c r="E20" s="12" t="n"/>
    </row>
    <row r="21">
      <c r="A21" t="inlineStr">
        <is>
          <t>FY2023</t>
        </is>
      </c>
      <c r="B21" s="12" t="inlineStr">
        <is>
          <t>non_gaap_operating_profit</t>
        </is>
      </c>
      <c r="C21" s="12" t="n">
        <v>3145</v>
      </c>
      <c r="D21" s="12" t="inlineStr">
        <is>
          <t>report/earnings_materials/sec_8k_ex99/HPE_8-K_Ex99-1_earnings_2024-12-05.htm</t>
        </is>
      </c>
      <c r="E21" s="12" t="n"/>
    </row>
    <row r="22">
      <c r="A22" t="inlineStr">
        <is>
          <t>FY2023</t>
        </is>
      </c>
      <c r="B22" s="12" t="inlineStr">
        <is>
          <t>non_gaap_net_earnings_hpe</t>
        </is>
      </c>
      <c r="C22" s="12" t="n">
        <v>2832</v>
      </c>
      <c r="D22" s="12" t="inlineStr">
        <is>
          <t>report/earnings_materials/sec_8k_ex99/HPE_8-K_Ex99-1_earnings_2024-12-05.htm</t>
        </is>
      </c>
      <c r="E22" s="12" t="n"/>
    </row>
    <row r="23">
      <c r="A23" t="inlineStr">
        <is>
          <t>FY2023</t>
        </is>
      </c>
      <c r="B23" s="12" t="inlineStr">
        <is>
          <t>non_gaap_diluted_eps</t>
        </is>
      </c>
      <c r="C23" s="12" t="n">
        <v>2.15</v>
      </c>
      <c r="D23" s="12" t="inlineStr">
        <is>
          <t>report/earnings_materials/sec_8k_ex99/HPE_8-K_Ex99-1_earnings_2024-12-05.htm</t>
        </is>
      </c>
      <c r="E23" s="12" t="n"/>
    </row>
    <row r="24">
      <c r="A24" t="inlineStr">
        <is>
          <t>FY2023</t>
        </is>
      </c>
      <c r="B24" s="12" t="inlineStr">
        <is>
          <t>free_cash_flow_reported</t>
        </is>
      </c>
      <c r="C24" s="12" t="n">
        <v>2238</v>
      </c>
      <c r="D24" s="12" t="inlineStr">
        <is>
          <t>report/earnings_materials/sec_8k_ex99/HPE_8-K_Ex99-1_earnings_2024-12-05.htm</t>
        </is>
      </c>
      <c r="E24" s="12" t="n"/>
    </row>
    <row r="25">
      <c r="A25" t="inlineStr">
        <is>
          <t>FY2024</t>
        </is>
      </c>
      <c r="B25" s="12" t="inlineStr">
        <is>
          <t>non_gaap_gross_profit</t>
        </is>
      </c>
      <c r="C25" s="12" t="n">
        <v>9893</v>
      </c>
      <c r="D25" s="12" t="inlineStr">
        <is>
          <t>report/earnings_materials/sec_8k_ex99/HPE_8-K_Ex99-1_earnings_2025-12-04.htm</t>
        </is>
      </c>
      <c r="E25" s="12" t="n"/>
    </row>
    <row r="26">
      <c r="A26" t="inlineStr">
        <is>
          <t>FY2024</t>
        </is>
      </c>
      <c r="B26" s="12" t="inlineStr">
        <is>
          <t>non_gaap_operating_profit</t>
        </is>
      </c>
      <c r="C26" s="12" t="n">
        <v>3168</v>
      </c>
      <c r="D26" s="12" t="inlineStr">
        <is>
          <t>report/earnings_materials/sec_8k_ex99/HPE_8-K_Ex99-1_earnings_2025-12-04.htm</t>
        </is>
      </c>
      <c r="E26" s="12" t="n"/>
    </row>
    <row r="27">
      <c r="A27" t="inlineStr">
        <is>
          <t>FY2024</t>
        </is>
      </c>
      <c r="B27" s="12" t="inlineStr">
        <is>
          <t>non_gaap_net_earnings_hpe</t>
        </is>
      </c>
      <c r="C27" s="12" t="n">
        <v>2655</v>
      </c>
      <c r="D27" s="12" t="inlineStr">
        <is>
          <t>report/earnings_materials/sec_8k_ex99/HPE_8-K_Ex99-1_earnings_2025-12-04.htm</t>
        </is>
      </c>
      <c r="E27" s="12" t="n"/>
    </row>
    <row r="28">
      <c r="A28" t="inlineStr">
        <is>
          <t>FY2024</t>
        </is>
      </c>
      <c r="B28" s="12" t="inlineStr">
        <is>
          <t>non_gaap_diluted_eps</t>
        </is>
      </c>
      <c r="C28" s="12" t="n">
        <v>1.99</v>
      </c>
      <c r="D28" s="12" t="inlineStr">
        <is>
          <t>report/earnings_materials/sec_8k_ex99/HPE_8-K_Ex99-1_earnings_2025-12-04.htm</t>
        </is>
      </c>
      <c r="E28" s="12" t="n"/>
    </row>
    <row r="29">
      <c r="A29" t="inlineStr">
        <is>
          <t>FY2024</t>
        </is>
      </c>
      <c r="B29" s="12" t="inlineStr">
        <is>
          <t>free_cash_flow_reported</t>
        </is>
      </c>
      <c r="C29" s="12" t="n">
        <v>2297</v>
      </c>
      <c r="D29" s="12" t="inlineStr">
        <is>
          <t>report/earnings_materials/sec_8k_ex99/HPE_8-K_Ex99-1_earnings_2025-12-04.htm</t>
        </is>
      </c>
      <c r="E29" s="12" t="n"/>
    </row>
    <row r="30">
      <c r="A30" t="inlineStr">
        <is>
          <t>FY2025</t>
        </is>
      </c>
      <c r="B30" s="12" t="inlineStr">
        <is>
          <t>non_gaap_gross_profit</t>
        </is>
      </c>
      <c r="C30" s="12" t="n">
        <v>10805</v>
      </c>
      <c r="D30" s="12" t="inlineStr">
        <is>
          <t>report/earnings_materials/sec_8k_ex99/HPE_8-K_Ex99-1_earnings_2025-12-04.htm</t>
        </is>
      </c>
      <c r="E30" s="12" t="n"/>
    </row>
    <row r="31">
      <c r="A31" t="inlineStr">
        <is>
          <t>FY2025</t>
        </is>
      </c>
      <c r="B31" s="12" t="inlineStr">
        <is>
          <t>non_gaap_operating_profit</t>
        </is>
      </c>
      <c r="C31" s="12" t="n">
        <v>3353</v>
      </c>
      <c r="D31" s="12" t="inlineStr">
        <is>
          <t>report/earnings_materials/sec_8k_ex99/HPE_8-K_Ex99-1_earnings_2025-12-04.htm</t>
        </is>
      </c>
      <c r="E31" s="12" t="n"/>
    </row>
    <row r="32">
      <c r="A32" t="inlineStr">
        <is>
          <t>FY2025</t>
        </is>
      </c>
      <c r="B32" s="12" t="inlineStr">
        <is>
          <t>non_gaap_net_earnings_hpe</t>
        </is>
      </c>
      <c r="C32" s="12" t="n">
        <v>2753</v>
      </c>
      <c r="D32" s="12" t="inlineStr">
        <is>
          <t>report/earnings_materials/sec_8k_ex99/HPE_8-K_Ex99-1_earnings_2025-12-04.htm</t>
        </is>
      </c>
      <c r="E32" s="12" t="n"/>
    </row>
    <row r="33">
      <c r="A33" t="inlineStr">
        <is>
          <t>FY2025</t>
        </is>
      </c>
      <c r="B33" s="12" t="inlineStr">
        <is>
          <t>non_gaap_diluted_eps</t>
        </is>
      </c>
      <c r="C33" s="12" t="n">
        <v>1.94</v>
      </c>
      <c r="D33" s="12" t="inlineStr">
        <is>
          <t>report/earnings_materials/sec_8k_ex99/HPE_8-K_Ex99-1_earnings_2025-12-04.htm</t>
        </is>
      </c>
      <c r="E33" s="12" t="n"/>
    </row>
    <row r="34">
      <c r="A34" t="inlineStr">
        <is>
          <t>FY2025</t>
        </is>
      </c>
      <c r="B34" s="12" t="inlineStr">
        <is>
          <t>free_cash_flow_reported</t>
        </is>
      </c>
      <c r="C34" s="12" t="n">
        <v>986</v>
      </c>
      <c r="D34" s="12" t="inlineStr">
        <is>
          <t>report/earnings_materials/sec_8k_ex99/HPE_8-K_Ex99-1_earnings_2025-12-04.htm</t>
        </is>
      </c>
      <c r="E34" s="12" t="n"/>
    </row>
    <row r="35">
      <c r="A35" t="inlineStr">
        <is>
          <t>TTM Q3 FY26</t>
        </is>
      </c>
      <c r="B35" s="12" t="inlineStr">
        <is>
          <t>non_gaap_gross_profit</t>
        </is>
      </c>
      <c r="C35" s="12" t="n">
        <v>15787</v>
      </c>
      <c r="D35" s="12" t="inlineStr">
        <is>
          <t>report/earnings_materials/FY2026Q3/HPE_Q3FY26_earnings-press-release.pdf</t>
        </is>
      </c>
      <c r="E35" s="12" t="inlineStr">
        <is>
          <t>FY25 10805 + 9M FY26 12268 - 9M FY25 7286</t>
        </is>
      </c>
    </row>
    <row r="36">
      <c r="A36" t="inlineStr">
        <is>
          <t>TTM Q3 FY26</t>
        </is>
      </c>
      <c r="B36" s="12" t="inlineStr">
        <is>
          <t>non_gaap_operating_profit</t>
        </is>
      </c>
      <c r="C36" s="12" t="n">
        <v>5767</v>
      </c>
      <c r="D36" s="12" t="inlineStr">
        <is>
          <t>report/earnings_materials/FY2026Q3/HPE_Q3FY26_earnings-press-release.pdf</t>
        </is>
      </c>
      <c r="E36" s="12" t="inlineStr">
        <is>
          <t>FY25 3353 + 9M FY26 4584 - 9M FY25 2170</t>
        </is>
      </c>
    </row>
    <row r="37">
      <c r="A37" t="inlineStr">
        <is>
          <t>TTM Q3 FY26</t>
        </is>
      </c>
      <c r="B37" s="12" t="inlineStr">
        <is>
          <t>non_gaap_net_earnings_hpe</t>
        </is>
      </c>
      <c r="C37" s="12" t="n">
        <v>4569</v>
      </c>
      <c r="D37" s="12" t="inlineStr">
        <is>
          <t>report/earnings_materials/FY2026Q3/HPE_Q3FY26_earnings-press-release.pdf</t>
        </is>
      </c>
      <c r="E37" s="12" t="inlineStr">
        <is>
          <t>FY25 2753 + 9M FY26 3676 - 9M FY25 1860</t>
        </is>
      </c>
    </row>
    <row r="38">
      <c r="A38" t="inlineStr">
        <is>
          <t>TTM Q3 FY26</t>
        </is>
      </c>
      <c r="B38" s="12" t="inlineStr">
        <is>
          <t>non_gaap_diluted_eps</t>
        </is>
      </c>
      <c r="C38" s="12" t="n">
        <v>3.17</v>
      </c>
      <c r="D38" s="12" t="inlineStr">
        <is>
          <t>report/earnings_materials/FY2026Q3/HPE_Q3FY26_earnings-press-release.pdf</t>
        </is>
      </c>
      <c r="E38" s="12" t="inlineStr">
        <is>
          <t>Q4 FY25 0.62 + 9M FY26 2.55</t>
        </is>
      </c>
    </row>
    <row r="39">
      <c r="A39" t="inlineStr">
        <is>
          <t>TTM Q3 FY26</t>
        </is>
      </c>
      <c r="B39" s="12" t="inlineStr">
        <is>
          <t>free_cash_flow_reported</t>
        </is>
      </c>
      <c r="C39" s="12" t="n">
        <v>4501</v>
      </c>
      <c r="D39" s="12" t="inlineStr">
        <is>
          <t>report/earnings_materials/FY2026Q3/HPE_Q3FY26_earnings-press-release.pdf</t>
        </is>
      </c>
      <c r="E39" s="12" t="inlineStr">
        <is>
          <t>FY25 986 + 9M FY26 2581 - 9M FY25 (934)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Segments (FY26 structure, recast)</t>
        </is>
      </c>
    </row>
    <row r="2">
      <c r="A2" s="2" t="inlineStr">
        <is>
          <t>Quarterly; Q2 FY25 derived from nine-month totals</t>
        </is>
      </c>
    </row>
    <row r="4">
      <c r="A4" s="3" t="inlineStr"/>
      <c r="B4" s="4" t="inlineStr">
        <is>
          <t>period_end</t>
        </is>
      </c>
      <c r="C4" s="4" t="inlineStr">
        <is>
          <t>segment</t>
        </is>
      </c>
      <c r="D4" s="4" t="inlineStr">
        <is>
          <t>line</t>
        </is>
      </c>
      <c r="E4" s="4" t="inlineStr">
        <is>
          <t>revenue</t>
        </is>
      </c>
      <c r="F4" s="4" t="inlineStr">
        <is>
          <t>operating_profit</t>
        </is>
      </c>
      <c r="G4" s="4" t="inlineStr">
        <is>
          <t>source</t>
        </is>
      </c>
    </row>
    <row r="5">
      <c r="A5" t="inlineStr">
        <is>
          <t>Q1 FY25</t>
        </is>
      </c>
      <c r="B5" s="13" t="inlineStr">
        <is>
          <t>2025-01-31</t>
        </is>
      </c>
      <c r="C5" s="13" t="inlineStr">
        <is>
          <t>Networking</t>
        </is>
      </c>
      <c r="D5" s="13" t="inlineStr">
        <is>
          <t>Total</t>
        </is>
      </c>
      <c r="E5" s="13" t="n">
        <v>1076</v>
      </c>
      <c r="F5" s="13" t="n">
        <v>320</v>
      </c>
      <c r="G5" s="13" t="inlineStr">
        <is>
          <t>Q1 FY26 earnings release (recast prior-year column)</t>
        </is>
      </c>
    </row>
    <row r="6">
      <c r="A6" t="inlineStr">
        <is>
          <t>Q1 FY25</t>
        </is>
      </c>
      <c r="B6" s="13" t="inlineStr">
        <is>
          <t>2025-01-31</t>
        </is>
      </c>
      <c r="C6" s="13" t="inlineStr">
        <is>
          <t>Cloud &amp; AI</t>
        </is>
      </c>
      <c r="D6" s="13" t="inlineStr">
        <is>
          <t>Total</t>
        </is>
      </c>
      <c r="E6" s="13" t="n">
        <v>6511</v>
      </c>
      <c r="F6" s="13" t="n">
        <v>547</v>
      </c>
      <c r="G6" s="13" t="inlineStr">
        <is>
          <t>Q1 FY26 earnings release (recast prior-year column)</t>
        </is>
      </c>
    </row>
    <row r="7">
      <c r="A7" t="inlineStr">
        <is>
          <t>Q1 FY25</t>
        </is>
      </c>
      <c r="B7" s="13" t="inlineStr">
        <is>
          <t>2025-01-31</t>
        </is>
      </c>
      <c r="C7" s="13" t="inlineStr">
        <is>
          <t>Corporate Investments and Other</t>
        </is>
      </c>
      <c r="D7" s="13" t="inlineStr">
        <is>
          <t>Total</t>
        </is>
      </c>
      <c r="E7" s="13" t="n">
        <v>267</v>
      </c>
      <c r="F7" s="13" t="n">
        <v>-8</v>
      </c>
      <c r="G7" s="13" t="inlineStr">
        <is>
          <t>Q1 FY26 earnings release (recast prior-year column)</t>
        </is>
      </c>
    </row>
    <row r="8">
      <c r="A8" t="inlineStr">
        <is>
          <t>Q1 FY25</t>
        </is>
      </c>
      <c r="B8" s="13" t="inlineStr">
        <is>
          <t>2025-01-31</t>
        </is>
      </c>
      <c r="C8" s="13" t="inlineStr">
        <is>
          <t>Networking</t>
        </is>
      </c>
      <c r="D8" s="13" t="inlineStr">
        <is>
          <t>Campus &amp; Branch</t>
        </is>
      </c>
      <c r="E8" s="13" t="n">
        <v>864</v>
      </c>
      <c r="F8" s="13" t="n"/>
      <c r="G8" s="13" t="inlineStr">
        <is>
          <t>Q1 FY26 earnings release</t>
        </is>
      </c>
    </row>
    <row r="9">
      <c r="A9" t="inlineStr">
        <is>
          <t>Q1 FY25</t>
        </is>
      </c>
      <c r="B9" s="13" t="inlineStr">
        <is>
          <t>2025-01-31</t>
        </is>
      </c>
      <c r="C9" s="13" t="inlineStr">
        <is>
          <t>Networking</t>
        </is>
      </c>
      <c r="D9" s="13" t="inlineStr">
        <is>
          <t>Data Center Networking</t>
        </is>
      </c>
      <c r="E9" s="13" t="n">
        <v>92</v>
      </c>
      <c r="F9" s="13" t="n"/>
      <c r="G9" s="13" t="inlineStr">
        <is>
          <t>Q1 FY26 earnings release</t>
        </is>
      </c>
    </row>
    <row r="10">
      <c r="A10" t="inlineStr">
        <is>
          <t>Q1 FY25</t>
        </is>
      </c>
      <c r="B10" s="13" t="inlineStr">
        <is>
          <t>2025-01-31</t>
        </is>
      </c>
      <c r="C10" s="13" t="inlineStr">
        <is>
          <t>Networking</t>
        </is>
      </c>
      <c r="D10" s="13" t="inlineStr">
        <is>
          <t>Security</t>
        </is>
      </c>
      <c r="E10" s="13" t="n">
        <v>119</v>
      </c>
      <c r="F10" s="13" t="n"/>
      <c r="G10" s="13" t="inlineStr">
        <is>
          <t>Q1 FY26 earnings release</t>
        </is>
      </c>
    </row>
    <row r="11">
      <c r="A11" t="inlineStr">
        <is>
          <t>Q1 FY25</t>
        </is>
      </c>
      <c r="B11" s="13" t="inlineStr">
        <is>
          <t>2025-01-31</t>
        </is>
      </c>
      <c r="C11" s="13" t="inlineStr">
        <is>
          <t>Networking</t>
        </is>
      </c>
      <c r="D11" s="13" t="inlineStr">
        <is>
          <t>Routing</t>
        </is>
      </c>
      <c r="E11" s="13" t="n">
        <v>1</v>
      </c>
      <c r="F11" s="13" t="n"/>
      <c r="G11" s="13" t="inlineStr">
        <is>
          <t>Q1 FY26 earnings release</t>
        </is>
      </c>
    </row>
    <row r="12">
      <c r="A12" t="inlineStr">
        <is>
          <t>Q1 FY25</t>
        </is>
      </c>
      <c r="B12" s="13" t="inlineStr">
        <is>
          <t>2025-01-31</t>
        </is>
      </c>
      <c r="C12" s="13" t="inlineStr">
        <is>
          <t>Cloud &amp; AI</t>
        </is>
      </c>
      <c r="D12" s="13" t="inlineStr">
        <is>
          <t>Server</t>
        </is>
      </c>
      <c r="E12" s="13" t="n">
        <v>4348</v>
      </c>
      <c r="F12" s="13" t="n"/>
      <c r="G12" s="13" t="inlineStr">
        <is>
          <t>Q1 FY26 earnings release</t>
        </is>
      </c>
    </row>
    <row r="13">
      <c r="A13" t="inlineStr">
        <is>
          <t>Q1 FY25</t>
        </is>
      </c>
      <c r="B13" s="13" t="inlineStr">
        <is>
          <t>2025-01-31</t>
        </is>
      </c>
      <c r="C13" s="13" t="inlineStr">
        <is>
          <t>Cloud &amp; AI</t>
        </is>
      </c>
      <c r="D13" s="13" t="inlineStr">
        <is>
          <t>Storage</t>
        </is>
      </c>
      <c r="E13" s="13" t="n">
        <v>1055</v>
      </c>
      <c r="F13" s="13" t="n"/>
      <c r="G13" s="13" t="inlineStr">
        <is>
          <t>Q1 FY26 earnings release</t>
        </is>
      </c>
    </row>
    <row r="14">
      <c r="A14" t="inlineStr">
        <is>
          <t>Q1 FY25</t>
        </is>
      </c>
      <c r="B14" s="13" t="inlineStr">
        <is>
          <t>2025-01-31</t>
        </is>
      </c>
      <c r="C14" s="13" t="inlineStr">
        <is>
          <t>Cloud &amp; AI</t>
        </is>
      </c>
      <c r="D14" s="13" t="inlineStr">
        <is>
          <t>Financial Services</t>
        </is>
      </c>
      <c r="E14" s="13" t="n">
        <v>873</v>
      </c>
      <c r="F14" s="13" t="n"/>
      <c r="G14" s="13" t="inlineStr">
        <is>
          <t>Q1 FY26 earnings release</t>
        </is>
      </c>
    </row>
    <row r="15">
      <c r="A15" t="inlineStr">
        <is>
          <t>Q1 FY25</t>
        </is>
      </c>
      <c r="B15" s="13" t="inlineStr">
        <is>
          <t>2025-01-31</t>
        </is>
      </c>
      <c r="C15" s="13" t="inlineStr">
        <is>
          <t>Cloud &amp; AI</t>
        </is>
      </c>
      <c r="D15" s="13" t="inlineStr">
        <is>
          <t>Other</t>
        </is>
      </c>
      <c r="E15" s="13" t="n">
        <v>235</v>
      </c>
      <c r="F15" s="13" t="n"/>
      <c r="G15" s="13" t="inlineStr">
        <is>
          <t>Q1 FY26 earnings release</t>
        </is>
      </c>
    </row>
    <row r="16">
      <c r="A16" t="inlineStr">
        <is>
          <t>Q2 FY25</t>
        </is>
      </c>
      <c r="B16" s="13" t="inlineStr">
        <is>
          <t>2025-04-30</t>
        </is>
      </c>
      <c r="C16" s="13" t="inlineStr">
        <is>
          <t>Networking</t>
        </is>
      </c>
      <c r="D16" s="13" t="inlineStr">
        <is>
          <t>Total</t>
        </is>
      </c>
      <c r="E16" s="13" t="n">
        <v>1084</v>
      </c>
      <c r="F16" s="13" t="n">
        <v>271</v>
      </c>
      <c r="G16" s="13" t="inlineStr">
        <is>
          <t>Derived: 9M FY25 (Q3 FY26 release) less Q1 and Q3 FY25</t>
        </is>
      </c>
    </row>
    <row r="17">
      <c r="A17" t="inlineStr">
        <is>
          <t>Q2 FY25</t>
        </is>
      </c>
      <c r="B17" s="13" t="inlineStr">
        <is>
          <t>2025-04-30</t>
        </is>
      </c>
      <c r="C17" s="13" t="inlineStr">
        <is>
          <t>Cloud &amp; AI</t>
        </is>
      </c>
      <c r="D17" s="13" t="inlineStr">
        <is>
          <t>Total</t>
        </is>
      </c>
      <c r="E17" s="13" t="n">
        <v>6271</v>
      </c>
      <c r="F17" s="13" t="n">
        <v>414</v>
      </c>
      <c r="G17" s="13" t="inlineStr">
        <is>
          <t>Derived: 9M FY25 (Q3 FY26 release) less Q1 and Q3 FY25</t>
        </is>
      </c>
    </row>
    <row r="18">
      <c r="A18" t="inlineStr">
        <is>
          <t>Q2 FY25</t>
        </is>
      </c>
      <c r="B18" s="13" t="inlineStr">
        <is>
          <t>2025-04-30</t>
        </is>
      </c>
      <c r="C18" s="13" t="inlineStr">
        <is>
          <t>Corporate Investments and Other</t>
        </is>
      </c>
      <c r="D18" s="13" t="inlineStr">
        <is>
          <t>Total</t>
        </is>
      </c>
      <c r="E18" s="13" t="n">
        <v>272</v>
      </c>
      <c r="F18" s="13" t="n">
        <v>-7</v>
      </c>
      <c r="G18" s="13" t="inlineStr">
        <is>
          <t>Derived: 9M FY25 (Q3 FY26 release) less Q1 and Q3 FY25</t>
        </is>
      </c>
    </row>
    <row r="19">
      <c r="A19" t="inlineStr">
        <is>
          <t>Q2 FY25</t>
        </is>
      </c>
      <c r="B19" s="13" t="inlineStr">
        <is>
          <t>2025-04-30</t>
        </is>
      </c>
      <c r="C19" s="13" t="inlineStr">
        <is>
          <t>Networking</t>
        </is>
      </c>
      <c r="D19" s="13" t="inlineStr">
        <is>
          <t>Campus &amp; Branch</t>
        </is>
      </c>
      <c r="E19" s="13" t="n">
        <v>880</v>
      </c>
      <c r="F19" s="13" t="n"/>
      <c r="G19" s="13" t="inlineStr">
        <is>
          <t>Derived: 9M FY25 less Q1 and Q3 FY25</t>
        </is>
      </c>
    </row>
    <row r="20">
      <c r="A20" t="inlineStr">
        <is>
          <t>Q2 FY25</t>
        </is>
      </c>
      <c r="B20" s="13" t="inlineStr">
        <is>
          <t>2025-04-30</t>
        </is>
      </c>
      <c r="C20" s="13" t="inlineStr">
        <is>
          <t>Networking</t>
        </is>
      </c>
      <c r="D20" s="13" t="inlineStr">
        <is>
          <t>Data Center Networking</t>
        </is>
      </c>
      <c r="E20" s="13" t="n">
        <v>96</v>
      </c>
      <c r="F20" s="13" t="n"/>
      <c r="G20" s="13" t="inlineStr">
        <is>
          <t>Derived: 9M FY25 less Q1 and Q3 FY25</t>
        </is>
      </c>
    </row>
    <row r="21">
      <c r="A21" t="inlineStr">
        <is>
          <t>Q2 FY25</t>
        </is>
      </c>
      <c r="B21" s="13" t="inlineStr">
        <is>
          <t>2025-04-30</t>
        </is>
      </c>
      <c r="C21" s="13" t="inlineStr">
        <is>
          <t>Networking</t>
        </is>
      </c>
      <c r="D21" s="13" t="inlineStr">
        <is>
          <t>Security</t>
        </is>
      </c>
      <c r="E21" s="13" t="n">
        <v>107</v>
      </c>
      <c r="F21" s="13" t="n"/>
      <c r="G21" s="13" t="inlineStr">
        <is>
          <t>Derived: 9M FY25 less Q1 and Q3 FY25</t>
        </is>
      </c>
    </row>
    <row r="22">
      <c r="A22" t="inlineStr">
        <is>
          <t>Q2 FY25</t>
        </is>
      </c>
      <c r="B22" s="13" t="inlineStr">
        <is>
          <t>2025-04-30</t>
        </is>
      </c>
      <c r="C22" s="13" t="inlineStr">
        <is>
          <t>Networking</t>
        </is>
      </c>
      <c r="D22" s="13" t="inlineStr">
        <is>
          <t>Routing</t>
        </is>
      </c>
      <c r="E22" s="13" t="n">
        <v>1</v>
      </c>
      <c r="F22" s="13" t="n"/>
      <c r="G22" s="13" t="inlineStr">
        <is>
          <t>Derived: 9M FY25 less Q1 and Q3 FY25</t>
        </is>
      </c>
    </row>
    <row r="23">
      <c r="A23" t="inlineStr">
        <is>
          <t>Q2 FY25</t>
        </is>
      </c>
      <c r="B23" s="13" t="inlineStr">
        <is>
          <t>2025-04-30</t>
        </is>
      </c>
      <c r="C23" s="13" t="inlineStr">
        <is>
          <t>Cloud &amp; AI</t>
        </is>
      </c>
      <c r="D23" s="13" t="inlineStr">
        <is>
          <t>Server</t>
        </is>
      </c>
      <c r="E23" s="13" t="n">
        <v>4109</v>
      </c>
      <c r="F23" s="13" t="n"/>
      <c r="G23" s="13" t="inlineStr">
        <is>
          <t>Derived: 9M FY25 less Q1 and Q3 FY25</t>
        </is>
      </c>
    </row>
    <row r="24">
      <c r="A24" t="inlineStr">
        <is>
          <t>Q2 FY25</t>
        </is>
      </c>
      <c r="B24" s="13" t="inlineStr">
        <is>
          <t>2025-04-30</t>
        </is>
      </c>
      <c r="C24" s="13" t="inlineStr">
        <is>
          <t>Cloud &amp; AI</t>
        </is>
      </c>
      <c r="D24" s="13" t="inlineStr">
        <is>
          <t>Storage</t>
        </is>
      </c>
      <c r="E24" s="13" t="n">
        <v>1148</v>
      </c>
      <c r="F24" s="13" t="n"/>
      <c r="G24" s="13" t="inlineStr">
        <is>
          <t>Derived: 9M FY25 less Q1 and Q3 FY25</t>
        </is>
      </c>
    </row>
    <row r="25">
      <c r="A25" t="inlineStr">
        <is>
          <t>Q2 FY25</t>
        </is>
      </c>
      <c r="B25" s="13" t="inlineStr">
        <is>
          <t>2025-04-30</t>
        </is>
      </c>
      <c r="C25" s="13" t="inlineStr">
        <is>
          <t>Cloud &amp; AI</t>
        </is>
      </c>
      <c r="D25" s="13" t="inlineStr">
        <is>
          <t>Financial Services</t>
        </is>
      </c>
      <c r="E25" s="13" t="n">
        <v>856</v>
      </c>
      <c r="F25" s="13" t="n"/>
      <c r="G25" s="13" t="inlineStr">
        <is>
          <t>Derived: 9M FY25 less Q1 and Q3 FY25</t>
        </is>
      </c>
    </row>
    <row r="26">
      <c r="A26" t="inlineStr">
        <is>
          <t>Q2 FY25</t>
        </is>
      </c>
      <c r="B26" s="13" t="inlineStr">
        <is>
          <t>2025-04-30</t>
        </is>
      </c>
      <c r="C26" s="13" t="inlineStr">
        <is>
          <t>Cloud &amp; AI</t>
        </is>
      </c>
      <c r="D26" s="13" t="inlineStr">
        <is>
          <t>Other</t>
        </is>
      </c>
      <c r="E26" s="13" t="n">
        <v>158</v>
      </c>
      <c r="F26" s="13" t="n"/>
      <c r="G26" s="13" t="inlineStr">
        <is>
          <t>Derived: 9M FY25 less Q1 and Q3 FY25</t>
        </is>
      </c>
    </row>
    <row r="27">
      <c r="A27" t="inlineStr">
        <is>
          <t>Q3 FY25</t>
        </is>
      </c>
      <c r="B27" s="13" t="inlineStr">
        <is>
          <t>2025-07-31</t>
        </is>
      </c>
      <c r="C27" s="13" t="inlineStr">
        <is>
          <t>Networking</t>
        </is>
      </c>
      <c r="D27" s="13" t="inlineStr">
        <is>
          <t>Total</t>
        </is>
      </c>
      <c r="E27" s="13" t="n">
        <v>1654</v>
      </c>
      <c r="F27" s="13" t="n">
        <v>365</v>
      </c>
      <c r="G27" s="13" t="inlineStr">
        <is>
          <t>Q3 FY26 earnings release (recast prior-year column)</t>
        </is>
      </c>
    </row>
    <row r="28">
      <c r="A28" t="inlineStr">
        <is>
          <t>Q3 FY25</t>
        </is>
      </c>
      <c r="B28" s="13" t="inlineStr">
        <is>
          <t>2025-07-31</t>
        </is>
      </c>
      <c r="C28" s="13" t="inlineStr">
        <is>
          <t>Cloud &amp; AI</t>
        </is>
      </c>
      <c r="D28" s="13" t="inlineStr">
        <is>
          <t>Total</t>
        </is>
      </c>
      <c r="E28" s="13" t="n">
        <v>7212</v>
      </c>
      <c r="F28" s="13" t="n">
        <v>504</v>
      </c>
      <c r="G28" s="13" t="inlineStr">
        <is>
          <t>Q3 FY26 earnings release (recast prior-year column)</t>
        </is>
      </c>
    </row>
    <row r="29">
      <c r="A29" t="inlineStr">
        <is>
          <t>Q3 FY25</t>
        </is>
      </c>
      <c r="B29" s="13" t="inlineStr">
        <is>
          <t>2025-07-31</t>
        </is>
      </c>
      <c r="C29" s="13" t="inlineStr">
        <is>
          <t>Corporate Investments and Other</t>
        </is>
      </c>
      <c r="D29" s="13" t="inlineStr">
        <is>
          <t>Total</t>
        </is>
      </c>
      <c r="E29" s="13" t="n">
        <v>270</v>
      </c>
      <c r="F29" s="13" t="n">
        <v>-19</v>
      </c>
      <c r="G29" s="13" t="inlineStr">
        <is>
          <t>Q3 FY26 earnings release (recast prior-year column)</t>
        </is>
      </c>
    </row>
    <row r="30">
      <c r="A30" t="inlineStr">
        <is>
          <t>Q3 FY25</t>
        </is>
      </c>
      <c r="B30" s="13" t="inlineStr">
        <is>
          <t>2025-07-31</t>
        </is>
      </c>
      <c r="C30" s="13" t="inlineStr">
        <is>
          <t>Networking</t>
        </is>
      </c>
      <c r="D30" s="13" t="inlineStr">
        <is>
          <t>Campus &amp; Branch</t>
        </is>
      </c>
      <c r="E30" s="13" t="n">
        <v>1101</v>
      </c>
      <c r="F30" s="13" t="n"/>
      <c r="G30" s="13" t="inlineStr">
        <is>
          <t>Q3 FY26 earnings release</t>
        </is>
      </c>
    </row>
    <row r="31">
      <c r="A31" t="inlineStr">
        <is>
          <t>Q3 FY25</t>
        </is>
      </c>
      <c r="B31" s="13" t="inlineStr">
        <is>
          <t>2025-07-31</t>
        </is>
      </c>
      <c r="C31" s="13" t="inlineStr">
        <is>
          <t>Networking</t>
        </is>
      </c>
      <c r="D31" s="13" t="inlineStr">
        <is>
          <t>Data Center Networking</t>
        </is>
      </c>
      <c r="E31" s="13" t="n">
        <v>180</v>
      </c>
      <c r="F31" s="13" t="n"/>
      <c r="G31" s="13" t="inlineStr">
        <is>
          <t>Q3 FY26 earnings release</t>
        </is>
      </c>
    </row>
    <row r="32">
      <c r="A32" t="inlineStr">
        <is>
          <t>Q3 FY25</t>
        </is>
      </c>
      <c r="B32" s="13" t="inlineStr">
        <is>
          <t>2025-07-31</t>
        </is>
      </c>
      <c r="C32" s="13" t="inlineStr">
        <is>
          <t>Networking</t>
        </is>
      </c>
      <c r="D32" s="13" t="inlineStr">
        <is>
          <t>Security</t>
        </is>
      </c>
      <c r="E32" s="13" t="n">
        <v>160</v>
      </c>
      <c r="F32" s="13" t="n"/>
      <c r="G32" s="13" t="inlineStr">
        <is>
          <t>Q3 FY26 earnings release</t>
        </is>
      </c>
    </row>
    <row r="33">
      <c r="A33" t="inlineStr">
        <is>
          <t>Q3 FY25</t>
        </is>
      </c>
      <c r="B33" s="13" t="inlineStr">
        <is>
          <t>2025-07-31</t>
        </is>
      </c>
      <c r="C33" s="13" t="inlineStr">
        <is>
          <t>Networking</t>
        </is>
      </c>
      <c r="D33" s="13" t="inlineStr">
        <is>
          <t>Routing</t>
        </is>
      </c>
      <c r="E33" s="13" t="n">
        <v>213</v>
      </c>
      <c r="F33" s="13" t="n"/>
      <c r="G33" s="13" t="inlineStr">
        <is>
          <t>Q3 FY26 earnings release</t>
        </is>
      </c>
    </row>
    <row r="34">
      <c r="A34" t="inlineStr">
        <is>
          <t>Q3 FY25</t>
        </is>
      </c>
      <c r="B34" s="13" t="inlineStr">
        <is>
          <t>2025-07-31</t>
        </is>
      </c>
      <c r="C34" s="13" t="inlineStr">
        <is>
          <t>Cloud &amp; AI</t>
        </is>
      </c>
      <c r="D34" s="13" t="inlineStr">
        <is>
          <t>Server</t>
        </is>
      </c>
      <c r="E34" s="13" t="n">
        <v>5000</v>
      </c>
      <c r="F34" s="13" t="n"/>
      <c r="G34" s="13" t="inlineStr">
        <is>
          <t>Q3 FY26 earnings release</t>
        </is>
      </c>
    </row>
    <row r="35">
      <c r="A35" t="inlineStr">
        <is>
          <t>Q3 FY25</t>
        </is>
      </c>
      <c r="B35" s="13" t="inlineStr">
        <is>
          <t>2025-07-31</t>
        </is>
      </c>
      <c r="C35" s="13" t="inlineStr">
        <is>
          <t>Cloud &amp; AI</t>
        </is>
      </c>
      <c r="D35" s="13" t="inlineStr">
        <is>
          <t>Storage</t>
        </is>
      </c>
      <c r="E35" s="13" t="n">
        <v>1171</v>
      </c>
      <c r="F35" s="13" t="n"/>
      <c r="G35" s="13" t="inlineStr">
        <is>
          <t>Q3 FY26 earnings release</t>
        </is>
      </c>
    </row>
    <row r="36">
      <c r="A36" t="inlineStr">
        <is>
          <t>Q3 FY25</t>
        </is>
      </c>
      <c r="B36" s="13" t="inlineStr">
        <is>
          <t>2025-07-31</t>
        </is>
      </c>
      <c r="C36" s="13" t="inlineStr">
        <is>
          <t>Cloud &amp; AI</t>
        </is>
      </c>
      <c r="D36" s="13" t="inlineStr">
        <is>
          <t>Financial Services</t>
        </is>
      </c>
      <c r="E36" s="13" t="n">
        <v>886</v>
      </c>
      <c r="F36" s="13" t="n"/>
      <c r="G36" s="13" t="inlineStr">
        <is>
          <t>Q3 FY26 earnings release</t>
        </is>
      </c>
    </row>
    <row r="37">
      <c r="A37" t="inlineStr">
        <is>
          <t>Q3 FY25</t>
        </is>
      </c>
      <c r="B37" s="13" t="inlineStr">
        <is>
          <t>2025-07-31</t>
        </is>
      </c>
      <c r="C37" s="13" t="inlineStr">
        <is>
          <t>Cloud &amp; AI</t>
        </is>
      </c>
      <c r="D37" s="13" t="inlineStr">
        <is>
          <t>Other</t>
        </is>
      </c>
      <c r="E37" s="13" t="n">
        <v>155</v>
      </c>
      <c r="F37" s="13" t="n"/>
      <c r="G37" s="13" t="inlineStr">
        <is>
          <t>Q3 FY26 earnings release</t>
        </is>
      </c>
    </row>
    <row r="38">
      <c r="A38" t="inlineStr">
        <is>
          <t>Q4 FY25</t>
        </is>
      </c>
      <c r="B38" s="13" t="inlineStr">
        <is>
          <t>2025-10-31</t>
        </is>
      </c>
      <c r="C38" s="13" t="inlineStr">
        <is>
          <t>Networking</t>
        </is>
      </c>
      <c r="D38" s="13" t="inlineStr">
        <is>
          <t>Total</t>
        </is>
      </c>
      <c r="E38" s="13" t="n">
        <v>2722</v>
      </c>
      <c r="F38" s="13" t="n">
        <v>638</v>
      </c>
      <c r="G38" s="13" t="inlineStr">
        <is>
          <t>Q1 FY26 earnings release (recast sequential column)</t>
        </is>
      </c>
    </row>
    <row r="39">
      <c r="A39" t="inlineStr">
        <is>
          <t>Q4 FY25</t>
        </is>
      </c>
      <c r="B39" s="13" t="inlineStr">
        <is>
          <t>2025-10-31</t>
        </is>
      </c>
      <c r="C39" s="13" t="inlineStr">
        <is>
          <t>Cloud &amp; AI</t>
        </is>
      </c>
      <c r="D39" s="13" t="inlineStr">
        <is>
          <t>Total</t>
        </is>
      </c>
      <c r="E39" s="13" t="n">
        <v>6676</v>
      </c>
      <c r="F39" s="13" t="n">
        <v>620</v>
      </c>
      <c r="G39" s="13" t="inlineStr">
        <is>
          <t>Q1 FY26 earnings release (recast sequential column)</t>
        </is>
      </c>
    </row>
    <row r="40">
      <c r="A40" t="inlineStr">
        <is>
          <t>Q4 FY25</t>
        </is>
      </c>
      <c r="B40" s="13" t="inlineStr">
        <is>
          <t>2025-10-31</t>
        </is>
      </c>
      <c r="C40" s="13" t="inlineStr">
        <is>
          <t>Corporate Investments and Other</t>
        </is>
      </c>
      <c r="D40" s="13" t="inlineStr">
        <is>
          <t>Total</t>
        </is>
      </c>
      <c r="E40" s="13" t="n">
        <v>281</v>
      </c>
      <c r="F40" s="13" t="n">
        <v>5</v>
      </c>
      <c r="G40" s="13" t="inlineStr">
        <is>
          <t>Q1 FY26 earnings release (recast sequential column)</t>
        </is>
      </c>
    </row>
    <row r="41">
      <c r="A41" t="inlineStr">
        <is>
          <t>Q4 FY25</t>
        </is>
      </c>
      <c r="B41" s="13" t="inlineStr">
        <is>
          <t>2025-10-31</t>
        </is>
      </c>
      <c r="C41" s="13" t="inlineStr">
        <is>
          <t>Networking</t>
        </is>
      </c>
      <c r="D41" s="13" t="inlineStr">
        <is>
          <t>Campus &amp; Branch</t>
        </is>
      </c>
      <c r="E41" s="13" t="n">
        <v>1284</v>
      </c>
      <c r="F41" s="13" t="n"/>
      <c r="G41" s="13" t="inlineStr">
        <is>
          <t>Q1 FY26 earnings release</t>
        </is>
      </c>
    </row>
    <row r="42">
      <c r="A42" t="inlineStr">
        <is>
          <t>Q4 FY25</t>
        </is>
      </c>
      <c r="B42" s="13" t="inlineStr">
        <is>
          <t>2025-10-31</t>
        </is>
      </c>
      <c r="C42" s="13" t="inlineStr">
        <is>
          <t>Networking</t>
        </is>
      </c>
      <c r="D42" s="13" t="inlineStr">
        <is>
          <t>Data Center Networking</t>
        </is>
      </c>
      <c r="E42" s="13" t="n">
        <v>354</v>
      </c>
      <c r="F42" s="13" t="n"/>
      <c r="G42" s="13" t="inlineStr">
        <is>
          <t>Q1 FY26 earnings release</t>
        </is>
      </c>
    </row>
    <row r="43">
      <c r="A43" t="inlineStr">
        <is>
          <t>Q4 FY25</t>
        </is>
      </c>
      <c r="B43" s="13" t="inlineStr">
        <is>
          <t>2025-10-31</t>
        </is>
      </c>
      <c r="C43" s="13" t="inlineStr">
        <is>
          <t>Networking</t>
        </is>
      </c>
      <c r="D43" s="13" t="inlineStr">
        <is>
          <t>Security</t>
        </is>
      </c>
      <c r="E43" s="13" t="n">
        <v>273</v>
      </c>
      <c r="F43" s="13" t="n"/>
      <c r="G43" s="13" t="inlineStr">
        <is>
          <t>Q1 FY26 earnings release</t>
        </is>
      </c>
    </row>
    <row r="44">
      <c r="A44" t="inlineStr">
        <is>
          <t>Q4 FY25</t>
        </is>
      </c>
      <c r="B44" s="13" t="inlineStr">
        <is>
          <t>2025-10-31</t>
        </is>
      </c>
      <c r="C44" s="13" t="inlineStr">
        <is>
          <t>Networking</t>
        </is>
      </c>
      <c r="D44" s="13" t="inlineStr">
        <is>
          <t>Routing</t>
        </is>
      </c>
      <c r="E44" s="13" t="n">
        <v>811</v>
      </c>
      <c r="F44" s="13" t="n"/>
      <c r="G44" s="13" t="inlineStr">
        <is>
          <t>Q1 FY26 earnings release</t>
        </is>
      </c>
    </row>
    <row r="45">
      <c r="A45" t="inlineStr">
        <is>
          <t>Q4 FY25</t>
        </is>
      </c>
      <c r="B45" s="13" t="inlineStr">
        <is>
          <t>2025-10-31</t>
        </is>
      </c>
      <c r="C45" s="13" t="inlineStr">
        <is>
          <t>Cloud &amp; AI</t>
        </is>
      </c>
      <c r="D45" s="13" t="inlineStr">
        <is>
          <t>Server</t>
        </is>
      </c>
      <c r="E45" s="13" t="n">
        <v>4514</v>
      </c>
      <c r="F45" s="13" t="n"/>
      <c r="G45" s="13" t="inlineStr">
        <is>
          <t>Q1 FY26 earnings release</t>
        </is>
      </c>
    </row>
    <row r="46">
      <c r="A46" t="inlineStr">
        <is>
          <t>Q4 FY25</t>
        </is>
      </c>
      <c r="B46" s="13" t="inlineStr">
        <is>
          <t>2025-10-31</t>
        </is>
      </c>
      <c r="C46" s="13" t="inlineStr">
        <is>
          <t>Cloud &amp; AI</t>
        </is>
      </c>
      <c r="D46" s="13" t="inlineStr">
        <is>
          <t>Storage</t>
        </is>
      </c>
      <c r="E46" s="13" t="n">
        <v>1106</v>
      </c>
      <c r="F46" s="13" t="n"/>
      <c r="G46" s="13" t="inlineStr">
        <is>
          <t>Q1 FY26 earnings release</t>
        </is>
      </c>
    </row>
    <row r="47">
      <c r="A47" t="inlineStr">
        <is>
          <t>Q4 FY25</t>
        </is>
      </c>
      <c r="B47" s="13" t="inlineStr">
        <is>
          <t>2025-10-31</t>
        </is>
      </c>
      <c r="C47" s="13" t="inlineStr">
        <is>
          <t>Cloud &amp; AI</t>
        </is>
      </c>
      <c r="D47" s="13" t="inlineStr">
        <is>
          <t>Financial Services</t>
        </is>
      </c>
      <c r="E47" s="13" t="n">
        <v>889</v>
      </c>
      <c r="F47" s="13" t="n"/>
      <c r="G47" s="13" t="inlineStr">
        <is>
          <t>Q1 FY26 earnings release</t>
        </is>
      </c>
    </row>
    <row r="48">
      <c r="A48" t="inlineStr">
        <is>
          <t>Q4 FY25</t>
        </is>
      </c>
      <c r="B48" s="13" t="inlineStr">
        <is>
          <t>2025-10-31</t>
        </is>
      </c>
      <c r="C48" s="13" t="inlineStr">
        <is>
          <t>Cloud &amp; AI</t>
        </is>
      </c>
      <c r="D48" s="13" t="inlineStr">
        <is>
          <t>Other</t>
        </is>
      </c>
      <c r="E48" s="13" t="n">
        <v>167</v>
      </c>
      <c r="F48" s="13" t="n"/>
      <c r="G48" s="13" t="inlineStr">
        <is>
          <t>Q1 FY26 earnings release</t>
        </is>
      </c>
    </row>
    <row r="49">
      <c r="A49" t="inlineStr">
        <is>
          <t>Q1 FY26</t>
        </is>
      </c>
      <c r="B49" s="13" t="inlineStr">
        <is>
          <t>2026-01-31</t>
        </is>
      </c>
      <c r="C49" s="13" t="inlineStr">
        <is>
          <t>Networking</t>
        </is>
      </c>
      <c r="D49" s="13" t="inlineStr">
        <is>
          <t>Total</t>
        </is>
      </c>
      <c r="E49" s="13" t="n">
        <v>2706</v>
      </c>
      <c r="F49" s="13" t="n">
        <v>640</v>
      </c>
      <c r="G49" s="13" t="inlineStr">
        <is>
          <t>Q1 FY26 earnings release</t>
        </is>
      </c>
    </row>
    <row r="50">
      <c r="A50" t="inlineStr">
        <is>
          <t>Q1 FY26</t>
        </is>
      </c>
      <c r="B50" s="13" t="inlineStr">
        <is>
          <t>2026-01-31</t>
        </is>
      </c>
      <c r="C50" s="13" t="inlineStr">
        <is>
          <t>Cloud &amp; AI</t>
        </is>
      </c>
      <c r="D50" s="13" t="inlineStr">
        <is>
          <t>Total</t>
        </is>
      </c>
      <c r="E50" s="13" t="n">
        <v>6334</v>
      </c>
      <c r="F50" s="13" t="n">
        <v>645</v>
      </c>
      <c r="G50" s="13" t="inlineStr">
        <is>
          <t>Q1 FY26 earnings release</t>
        </is>
      </c>
    </row>
    <row r="51">
      <c r="A51" t="inlineStr">
        <is>
          <t>Q1 FY26</t>
        </is>
      </c>
      <c r="B51" s="13" t="inlineStr">
        <is>
          <t>2026-01-31</t>
        </is>
      </c>
      <c r="C51" s="13" t="inlineStr">
        <is>
          <t>Corporate Investments and Other</t>
        </is>
      </c>
      <c r="D51" s="13" t="inlineStr">
        <is>
          <t>Total</t>
        </is>
      </c>
      <c r="E51" s="13" t="n">
        <v>261</v>
      </c>
      <c r="F51" s="13" t="n">
        <v>-12</v>
      </c>
      <c r="G51" s="13" t="inlineStr">
        <is>
          <t>Q1 FY26 earnings release</t>
        </is>
      </c>
    </row>
    <row r="52">
      <c r="A52" t="inlineStr">
        <is>
          <t>Q1 FY26</t>
        </is>
      </c>
      <c r="B52" s="13" t="inlineStr">
        <is>
          <t>2026-01-31</t>
        </is>
      </c>
      <c r="C52" s="13" t="inlineStr">
        <is>
          <t>Networking</t>
        </is>
      </c>
      <c r="D52" s="13" t="inlineStr">
        <is>
          <t>Campus &amp; Branch</t>
        </is>
      </c>
      <c r="E52" s="13" t="n">
        <v>1227</v>
      </c>
      <c r="F52" s="13" t="n"/>
      <c r="G52" s="13" t="inlineStr">
        <is>
          <t>Q1 FY26 earnings release</t>
        </is>
      </c>
    </row>
    <row r="53">
      <c r="A53" t="inlineStr">
        <is>
          <t>Q1 FY26</t>
        </is>
      </c>
      <c r="B53" s="13" t="inlineStr">
        <is>
          <t>2026-01-31</t>
        </is>
      </c>
      <c r="C53" s="13" t="inlineStr">
        <is>
          <t>Networking</t>
        </is>
      </c>
      <c r="D53" s="13" t="inlineStr">
        <is>
          <t>Data Center Networking</t>
        </is>
      </c>
      <c r="E53" s="13" t="n">
        <v>444</v>
      </c>
      <c r="F53" s="13" t="n"/>
      <c r="G53" s="13" t="inlineStr">
        <is>
          <t>Q1 FY26 earnings release</t>
        </is>
      </c>
    </row>
    <row r="54">
      <c r="A54" t="inlineStr">
        <is>
          <t>Q1 FY26</t>
        </is>
      </c>
      <c r="B54" s="13" t="inlineStr">
        <is>
          <t>2026-01-31</t>
        </is>
      </c>
      <c r="C54" s="13" t="inlineStr">
        <is>
          <t>Networking</t>
        </is>
      </c>
      <c r="D54" s="13" t="inlineStr">
        <is>
          <t>Security</t>
        </is>
      </c>
      <c r="E54" s="13" t="n">
        <v>255</v>
      </c>
      <c r="F54" s="13" t="n"/>
      <c r="G54" s="13" t="inlineStr">
        <is>
          <t>Q1 FY26 earnings release</t>
        </is>
      </c>
    </row>
    <row r="55">
      <c r="A55" t="inlineStr">
        <is>
          <t>Q1 FY26</t>
        </is>
      </c>
      <c r="B55" s="13" t="inlineStr">
        <is>
          <t>2026-01-31</t>
        </is>
      </c>
      <c r="C55" s="13" t="inlineStr">
        <is>
          <t>Networking</t>
        </is>
      </c>
      <c r="D55" s="13" t="inlineStr">
        <is>
          <t>Routing</t>
        </is>
      </c>
      <c r="E55" s="13" t="n">
        <v>780</v>
      </c>
      <c r="F55" s="13" t="n"/>
      <c r="G55" s="13" t="inlineStr">
        <is>
          <t>Q1 FY26 earnings release</t>
        </is>
      </c>
    </row>
    <row r="56">
      <c r="A56" t="inlineStr">
        <is>
          <t>Q1 FY26</t>
        </is>
      </c>
      <c r="B56" s="13" t="inlineStr">
        <is>
          <t>2026-01-31</t>
        </is>
      </c>
      <c r="C56" s="13" t="inlineStr">
        <is>
          <t>Cloud &amp; AI</t>
        </is>
      </c>
      <c r="D56" s="13" t="inlineStr">
        <is>
          <t>Server</t>
        </is>
      </c>
      <c r="E56" s="13" t="n">
        <v>4232</v>
      </c>
      <c r="F56" s="13" t="n"/>
      <c r="G56" s="13" t="inlineStr">
        <is>
          <t>Q1 FY26 earnings release</t>
        </is>
      </c>
    </row>
    <row r="57">
      <c r="A57" t="inlineStr">
        <is>
          <t>Q1 FY26</t>
        </is>
      </c>
      <c r="B57" s="13" t="inlineStr">
        <is>
          <t>2026-01-31</t>
        </is>
      </c>
      <c r="C57" s="13" t="inlineStr">
        <is>
          <t>Cloud &amp; AI</t>
        </is>
      </c>
      <c r="D57" s="13" t="inlineStr">
        <is>
          <t>Storage</t>
        </is>
      </c>
      <c r="E57" s="13" t="n">
        <v>1061</v>
      </c>
      <c r="F57" s="13" t="n"/>
      <c r="G57" s="13" t="inlineStr">
        <is>
          <t>Q1 FY26 earnings release</t>
        </is>
      </c>
    </row>
    <row r="58">
      <c r="A58" t="inlineStr">
        <is>
          <t>Q1 FY26</t>
        </is>
      </c>
      <c r="B58" s="13" t="inlineStr">
        <is>
          <t>2026-01-31</t>
        </is>
      </c>
      <c r="C58" s="13" t="inlineStr">
        <is>
          <t>Cloud &amp; AI</t>
        </is>
      </c>
      <c r="D58" s="13" t="inlineStr">
        <is>
          <t>Financial Services</t>
        </is>
      </c>
      <c r="E58" s="13" t="n">
        <v>876</v>
      </c>
      <c r="F58" s="13" t="n"/>
      <c r="G58" s="13" t="inlineStr">
        <is>
          <t>Q1 FY26 earnings release</t>
        </is>
      </c>
    </row>
    <row r="59">
      <c r="A59" t="inlineStr">
        <is>
          <t>Q1 FY26</t>
        </is>
      </c>
      <c r="B59" s="13" t="inlineStr">
        <is>
          <t>2026-01-31</t>
        </is>
      </c>
      <c r="C59" s="13" t="inlineStr">
        <is>
          <t>Cloud &amp; AI</t>
        </is>
      </c>
      <c r="D59" s="13" t="inlineStr">
        <is>
          <t>Other</t>
        </is>
      </c>
      <c r="E59" s="13" t="n">
        <v>165</v>
      </c>
      <c r="F59" s="13" t="n"/>
      <c r="G59" s="13" t="inlineStr">
        <is>
          <t>Q1 FY26 earnings release</t>
        </is>
      </c>
    </row>
    <row r="60">
      <c r="A60" t="inlineStr">
        <is>
          <t>Q2 FY26</t>
        </is>
      </c>
      <c r="B60" s="13" t="inlineStr">
        <is>
          <t>2026-04-30</t>
        </is>
      </c>
      <c r="C60" s="13" t="inlineStr">
        <is>
          <t>Networking</t>
        </is>
      </c>
      <c r="D60" s="13" t="inlineStr">
        <is>
          <t>Total</t>
        </is>
      </c>
      <c r="E60" s="13" t="n">
        <v>2690</v>
      </c>
      <c r="F60" s="13" t="n">
        <v>581</v>
      </c>
      <c r="G60" s="13" t="inlineStr">
        <is>
          <t>Q3 FY26 earnings release (sequential column)</t>
        </is>
      </c>
    </row>
    <row r="61">
      <c r="A61" t="inlineStr">
        <is>
          <t>Q2 FY26</t>
        </is>
      </c>
      <c r="B61" s="13" t="inlineStr">
        <is>
          <t>2026-04-30</t>
        </is>
      </c>
      <c r="C61" s="13" t="inlineStr">
        <is>
          <t>Cloud &amp; AI</t>
        </is>
      </c>
      <c r="D61" s="13" t="inlineStr">
        <is>
          <t>Total</t>
        </is>
      </c>
      <c r="E61" s="13" t="n">
        <v>7707</v>
      </c>
      <c r="F61" s="13" t="n">
        <v>954</v>
      </c>
      <c r="G61" s="13" t="inlineStr">
        <is>
          <t>Q3 FY26 earnings release (sequential column)</t>
        </is>
      </c>
    </row>
    <row r="62">
      <c r="A62" t="inlineStr">
        <is>
          <t>Q2 FY26</t>
        </is>
      </c>
      <c r="B62" s="13" t="inlineStr">
        <is>
          <t>2026-04-30</t>
        </is>
      </c>
      <c r="C62" s="13" t="inlineStr">
        <is>
          <t>Corporate Investments and Other</t>
        </is>
      </c>
      <c r="D62" s="13" t="inlineStr">
        <is>
          <t>Total</t>
        </is>
      </c>
      <c r="E62" s="13" t="n">
        <v>281</v>
      </c>
      <c r="F62" s="13" t="n">
        <v>-9</v>
      </c>
      <c r="G62" s="13" t="inlineStr">
        <is>
          <t>Q3 FY26 earnings release (sequential column)</t>
        </is>
      </c>
    </row>
    <row r="63">
      <c r="A63" t="inlineStr">
        <is>
          <t>Q2 FY26</t>
        </is>
      </c>
      <c r="B63" s="13" t="inlineStr">
        <is>
          <t>2026-04-30</t>
        </is>
      </c>
      <c r="C63" s="13" t="inlineStr">
        <is>
          <t>Networking</t>
        </is>
      </c>
      <c r="D63" s="13" t="inlineStr">
        <is>
          <t>Campus &amp; Branch</t>
        </is>
      </c>
      <c r="E63" s="13" t="n">
        <v>1322</v>
      </c>
      <c r="F63" s="13" t="n"/>
      <c r="G63" s="13" t="inlineStr">
        <is>
          <t>Q3 FY26 earnings release</t>
        </is>
      </c>
    </row>
    <row r="64">
      <c r="A64" t="inlineStr">
        <is>
          <t>Q2 FY26</t>
        </is>
      </c>
      <c r="B64" s="13" t="inlineStr">
        <is>
          <t>2026-04-30</t>
        </is>
      </c>
      <c r="C64" s="13" t="inlineStr">
        <is>
          <t>Networking</t>
        </is>
      </c>
      <c r="D64" s="13" t="inlineStr">
        <is>
          <t>Data Center Networking</t>
        </is>
      </c>
      <c r="E64" s="13" t="n">
        <v>320</v>
      </c>
      <c r="F64" s="13" t="n"/>
      <c r="G64" s="13" t="inlineStr">
        <is>
          <t>Q3 FY26 earnings release</t>
        </is>
      </c>
    </row>
    <row r="65">
      <c r="A65" t="inlineStr">
        <is>
          <t>Q2 FY26</t>
        </is>
      </c>
      <c r="B65" s="13" t="inlineStr">
        <is>
          <t>2026-04-30</t>
        </is>
      </c>
      <c r="C65" s="13" t="inlineStr">
        <is>
          <t>Networking</t>
        </is>
      </c>
      <c r="D65" s="13" t="inlineStr">
        <is>
          <t>Security</t>
        </is>
      </c>
      <c r="E65" s="13" t="n">
        <v>273</v>
      </c>
      <c r="F65" s="13" t="n"/>
      <c r="G65" s="13" t="inlineStr">
        <is>
          <t>Q3 FY26 earnings release</t>
        </is>
      </c>
    </row>
    <row r="66">
      <c r="A66" t="inlineStr">
        <is>
          <t>Q2 FY26</t>
        </is>
      </c>
      <c r="B66" s="13" t="inlineStr">
        <is>
          <t>2026-04-30</t>
        </is>
      </c>
      <c r="C66" s="13" t="inlineStr">
        <is>
          <t>Networking</t>
        </is>
      </c>
      <c r="D66" s="13" t="inlineStr">
        <is>
          <t>Routing</t>
        </is>
      </c>
      <c r="E66" s="13" t="n">
        <v>775</v>
      </c>
      <c r="F66" s="13" t="n"/>
      <c r="G66" s="13" t="inlineStr">
        <is>
          <t>Q3 FY26 earnings release</t>
        </is>
      </c>
    </row>
    <row r="67">
      <c r="A67" t="inlineStr">
        <is>
          <t>Q2 FY26</t>
        </is>
      </c>
      <c r="B67" s="13" t="inlineStr">
        <is>
          <t>2026-04-30</t>
        </is>
      </c>
      <c r="C67" s="13" t="inlineStr">
        <is>
          <t>Cloud &amp; AI</t>
        </is>
      </c>
      <c r="D67" s="13" t="inlineStr">
        <is>
          <t>Server</t>
        </is>
      </c>
      <c r="E67" s="13" t="n">
        <v>5454</v>
      </c>
      <c r="F67" s="13" t="n"/>
      <c r="G67" s="13" t="inlineStr">
        <is>
          <t>Q3 FY26 earnings release</t>
        </is>
      </c>
    </row>
    <row r="68">
      <c r="A68" t="inlineStr">
        <is>
          <t>Q2 FY26</t>
        </is>
      </c>
      <c r="B68" s="13" t="inlineStr">
        <is>
          <t>2026-04-30</t>
        </is>
      </c>
      <c r="C68" s="13" t="inlineStr">
        <is>
          <t>Cloud &amp; AI</t>
        </is>
      </c>
      <c r="D68" s="13" t="inlineStr">
        <is>
          <t>Storage</t>
        </is>
      </c>
      <c r="E68" s="13" t="n">
        <v>1175</v>
      </c>
      <c r="F68" s="13" t="n"/>
      <c r="G68" s="13" t="inlineStr">
        <is>
          <t>Q3 FY26 earnings release</t>
        </is>
      </c>
    </row>
    <row r="69">
      <c r="A69" t="inlineStr">
        <is>
          <t>Q2 FY26</t>
        </is>
      </c>
      <c r="B69" s="13" t="inlineStr">
        <is>
          <t>2026-04-30</t>
        </is>
      </c>
      <c r="C69" s="13" t="inlineStr">
        <is>
          <t>Cloud &amp; AI</t>
        </is>
      </c>
      <c r="D69" s="13" t="inlineStr">
        <is>
          <t>Financial Services</t>
        </is>
      </c>
      <c r="E69" s="13" t="n">
        <v>904</v>
      </c>
      <c r="F69" s="13" t="n"/>
      <c r="G69" s="13" t="inlineStr">
        <is>
          <t>Q3 FY26 earnings release</t>
        </is>
      </c>
    </row>
    <row r="70">
      <c r="A70" t="inlineStr">
        <is>
          <t>Q2 FY26</t>
        </is>
      </c>
      <c r="B70" s="13" t="inlineStr">
        <is>
          <t>2026-04-30</t>
        </is>
      </c>
      <c r="C70" s="13" t="inlineStr">
        <is>
          <t>Cloud &amp; AI</t>
        </is>
      </c>
      <c r="D70" s="13" t="inlineStr">
        <is>
          <t>Other</t>
        </is>
      </c>
      <c r="E70" s="13" t="n">
        <v>174</v>
      </c>
      <c r="F70" s="13" t="n"/>
      <c r="G70" s="13" t="inlineStr">
        <is>
          <t>Q3 FY26 earnings release</t>
        </is>
      </c>
    </row>
    <row r="71">
      <c r="A71" t="inlineStr">
        <is>
          <t>Q3 FY26</t>
        </is>
      </c>
      <c r="B71" s="13" t="inlineStr">
        <is>
          <t>2026-07-31</t>
        </is>
      </c>
      <c r="C71" s="13" t="inlineStr">
        <is>
          <t>Networking</t>
        </is>
      </c>
      <c r="D71" s="13" t="inlineStr">
        <is>
          <t>Total</t>
        </is>
      </c>
      <c r="E71" s="13" t="n">
        <v>2893</v>
      </c>
      <c r="F71" s="13" t="n">
        <v>637</v>
      </c>
      <c r="G71" s="13" t="inlineStr">
        <is>
          <t>Q3 FY26 earnings release</t>
        </is>
      </c>
    </row>
    <row r="72">
      <c r="A72" t="inlineStr">
        <is>
          <t>Q3 FY26</t>
        </is>
      </c>
      <c r="B72" s="13" t="inlineStr">
        <is>
          <t>2026-07-31</t>
        </is>
      </c>
      <c r="C72" s="13" t="inlineStr">
        <is>
          <t>Cloud &amp; AI</t>
        </is>
      </c>
      <c r="D72" s="13" t="inlineStr">
        <is>
          <t>Total</t>
        </is>
      </c>
      <c r="E72" s="13" t="n">
        <v>9042</v>
      </c>
      <c r="F72" s="13" t="n">
        <v>1539</v>
      </c>
      <c r="G72" s="13" t="inlineStr">
        <is>
          <t>Q3 FY26 earnings release</t>
        </is>
      </c>
    </row>
    <row r="73">
      <c r="A73" t="inlineStr">
        <is>
          <t>Q3 FY26</t>
        </is>
      </c>
      <c r="B73" s="13" t="inlineStr">
        <is>
          <t>2026-07-31</t>
        </is>
      </c>
      <c r="C73" s="13" t="inlineStr">
        <is>
          <t>Corporate Investments and Other</t>
        </is>
      </c>
      <c r="D73" s="13" t="inlineStr">
        <is>
          <t>Total</t>
        </is>
      </c>
      <c r="E73" s="13" t="n">
        <v>278</v>
      </c>
      <c r="F73" s="13" t="n">
        <v>-67</v>
      </c>
      <c r="G73" s="13" t="inlineStr">
        <is>
          <t>Q3 FY26 earnings release</t>
        </is>
      </c>
    </row>
    <row r="74">
      <c r="A74" t="inlineStr">
        <is>
          <t>Q3 FY26</t>
        </is>
      </c>
      <c r="B74" s="13" t="inlineStr">
        <is>
          <t>2026-07-31</t>
        </is>
      </c>
      <c r="C74" s="13" t="inlineStr">
        <is>
          <t>Networking</t>
        </is>
      </c>
      <c r="D74" s="13" t="inlineStr">
        <is>
          <t>Campus &amp; Branch</t>
        </is>
      </c>
      <c r="E74" s="13" t="n">
        <v>1442</v>
      </c>
      <c r="F74" s="13" t="n"/>
      <c r="G74" s="13" t="inlineStr">
        <is>
          <t>Q3 FY26 earnings release</t>
        </is>
      </c>
    </row>
    <row r="75">
      <c r="A75" t="inlineStr">
        <is>
          <t>Q3 FY26</t>
        </is>
      </c>
      <c r="B75" s="13" t="inlineStr">
        <is>
          <t>2026-07-31</t>
        </is>
      </c>
      <c r="C75" s="13" t="inlineStr">
        <is>
          <t>Networking</t>
        </is>
      </c>
      <c r="D75" s="13" t="inlineStr">
        <is>
          <t>Data Center Networking</t>
        </is>
      </c>
      <c r="E75" s="13" t="n">
        <v>382</v>
      </c>
      <c r="F75" s="13" t="n"/>
      <c r="G75" s="13" t="inlineStr">
        <is>
          <t>Q3 FY26 earnings release</t>
        </is>
      </c>
    </row>
    <row r="76">
      <c r="A76" t="inlineStr">
        <is>
          <t>Q3 FY26</t>
        </is>
      </c>
      <c r="B76" s="13" t="inlineStr">
        <is>
          <t>2026-07-31</t>
        </is>
      </c>
      <c r="C76" s="13" t="inlineStr">
        <is>
          <t>Networking</t>
        </is>
      </c>
      <c r="D76" s="13" t="inlineStr">
        <is>
          <t>Security</t>
        </is>
      </c>
      <c r="E76" s="13" t="n">
        <v>281</v>
      </c>
      <c r="F76" s="13" t="n"/>
      <c r="G76" s="13" t="inlineStr">
        <is>
          <t>Q3 FY26 earnings release</t>
        </is>
      </c>
    </row>
    <row r="77">
      <c r="A77" t="inlineStr">
        <is>
          <t>Q3 FY26</t>
        </is>
      </c>
      <c r="B77" s="13" t="inlineStr">
        <is>
          <t>2026-07-31</t>
        </is>
      </c>
      <c r="C77" s="13" t="inlineStr">
        <is>
          <t>Networking</t>
        </is>
      </c>
      <c r="D77" s="13" t="inlineStr">
        <is>
          <t>Routing</t>
        </is>
      </c>
      <c r="E77" s="13" t="n">
        <v>788</v>
      </c>
      <c r="F77" s="13" t="n"/>
      <c r="G77" s="13" t="inlineStr">
        <is>
          <t>Q3 FY26 earnings release</t>
        </is>
      </c>
    </row>
    <row r="78">
      <c r="A78" t="inlineStr">
        <is>
          <t>Q3 FY26</t>
        </is>
      </c>
      <c r="B78" s="13" t="inlineStr">
        <is>
          <t>2026-07-31</t>
        </is>
      </c>
      <c r="C78" s="13" t="inlineStr">
        <is>
          <t>Cloud &amp; AI</t>
        </is>
      </c>
      <c r="D78" s="13" t="inlineStr">
        <is>
          <t>Server</t>
        </is>
      </c>
      <c r="E78" s="13" t="n">
        <v>6766</v>
      </c>
      <c r="F78" s="13" t="n"/>
      <c r="G78" s="13" t="inlineStr">
        <is>
          <t>Q3 FY26 earnings release</t>
        </is>
      </c>
    </row>
    <row r="79">
      <c r="A79" t="inlineStr">
        <is>
          <t>Q3 FY26</t>
        </is>
      </c>
      <c r="B79" s="13" t="inlineStr">
        <is>
          <t>2026-07-31</t>
        </is>
      </c>
      <c r="C79" s="13" t="inlineStr">
        <is>
          <t>Cloud &amp; AI</t>
        </is>
      </c>
      <c r="D79" s="13" t="inlineStr">
        <is>
          <t>Storage</t>
        </is>
      </c>
      <c r="E79" s="13" t="n">
        <v>1291</v>
      </c>
      <c r="F79" s="13" t="n"/>
      <c r="G79" s="13" t="inlineStr">
        <is>
          <t>Q3 FY26 earnings release</t>
        </is>
      </c>
    </row>
    <row r="80">
      <c r="A80" t="inlineStr">
        <is>
          <t>Q3 FY26</t>
        </is>
      </c>
      <c r="B80" s="13" t="inlineStr">
        <is>
          <t>2026-07-31</t>
        </is>
      </c>
      <c r="C80" s="13" t="inlineStr">
        <is>
          <t>Cloud &amp; AI</t>
        </is>
      </c>
      <c r="D80" s="13" t="inlineStr">
        <is>
          <t>Financial Services</t>
        </is>
      </c>
      <c r="E80" s="13" t="n">
        <v>883</v>
      </c>
      <c r="F80" s="13" t="n"/>
      <c r="G80" s="13" t="inlineStr">
        <is>
          <t>Q3 FY26 earnings release</t>
        </is>
      </c>
    </row>
    <row r="81">
      <c r="A81" t="inlineStr">
        <is>
          <t>Q3 FY26</t>
        </is>
      </c>
      <c r="B81" s="13" t="inlineStr">
        <is>
          <t>2026-07-31</t>
        </is>
      </c>
      <c r="C81" s="13" t="inlineStr">
        <is>
          <t>Cloud &amp; AI</t>
        </is>
      </c>
      <c r="D81" s="13" t="inlineStr">
        <is>
          <t>Other</t>
        </is>
      </c>
      <c r="E81" s="13" t="n">
        <v>102</v>
      </c>
      <c r="F81" s="13" t="n"/>
      <c r="G81" s="13" t="inlineStr">
        <is>
          <t>Q3 FY26 earnings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Reconciliation checks</t>
        </is>
      </c>
    </row>
    <row r="2">
      <c r="A2" s="2" t="inlineStr">
        <is>
          <t>Parsed statements vs SEC XBRL, balance sheet identity, TTM and FCF reconciliations</t>
        </is>
      </c>
    </row>
    <row r="4">
      <c r="A4" s="3" t="inlineStr"/>
      <c r="B4" s="4" t="inlineStr">
        <is>
          <t>parsed</t>
        </is>
      </c>
      <c r="C4" s="4" t="inlineStr">
        <is>
          <t>reference</t>
        </is>
      </c>
      <c r="D4" s="4" t="inlineStr">
        <is>
          <t>diff_pct</t>
        </is>
      </c>
      <c r="E4" s="4" t="inlineStr">
        <is>
          <t>passed</t>
        </is>
      </c>
      <c r="F4" s="4" t="inlineStr">
        <is>
          <t>note</t>
        </is>
      </c>
    </row>
    <row r="5">
      <c r="A5" t="inlineStr">
        <is>
          <t>revenue FY2021: parsed vs XBRL</t>
        </is>
      </c>
      <c r="B5" s="14" t="n">
        <v>27784</v>
      </c>
      <c r="C5" s="14" t="n">
        <v>27784</v>
      </c>
      <c r="D5" s="14" t="n">
        <v>0</v>
      </c>
      <c r="E5" s="14" t="n">
        <v>1</v>
      </c>
      <c r="F5" s="14" t="n"/>
    </row>
    <row r="6">
      <c r="A6" t="inlineStr">
        <is>
          <t>revenue FY2022: parsed vs XBRL</t>
        </is>
      </c>
      <c r="B6" s="14" t="n">
        <v>28496</v>
      </c>
      <c r="C6" s="14" t="n">
        <v>28496</v>
      </c>
      <c r="D6" s="14" t="n">
        <v>0</v>
      </c>
      <c r="E6" s="14" t="n">
        <v>1</v>
      </c>
      <c r="F6" s="14" t="n"/>
    </row>
    <row r="7">
      <c r="A7" t="inlineStr">
        <is>
          <t>revenue FY2023: parsed vs XBRL</t>
        </is>
      </c>
      <c r="B7" s="14" t="n">
        <v>29135</v>
      </c>
      <c r="C7" s="14" t="n">
        <v>29135</v>
      </c>
      <c r="D7" s="14" t="n">
        <v>0</v>
      </c>
      <c r="E7" s="14" t="n">
        <v>1</v>
      </c>
      <c r="F7" s="14" t="n"/>
    </row>
    <row r="8">
      <c r="A8" t="inlineStr">
        <is>
          <t>revenue FY2024: parsed vs XBRL</t>
        </is>
      </c>
      <c r="B8" s="14" t="n">
        <v>30127</v>
      </c>
      <c r="C8" s="14" t="n">
        <v>30127</v>
      </c>
      <c r="D8" s="14" t="n">
        <v>0</v>
      </c>
      <c r="E8" s="14" t="n">
        <v>1</v>
      </c>
      <c r="F8" s="14" t="n"/>
    </row>
    <row r="9">
      <c r="A9" t="inlineStr">
        <is>
          <t>revenue FY2025: parsed vs XBRL</t>
        </is>
      </c>
      <c r="B9" s="14" t="n">
        <v>34296</v>
      </c>
      <c r="C9" s="14" t="n">
        <v>34296</v>
      </c>
      <c r="D9" s="14" t="n">
        <v>0</v>
      </c>
      <c r="E9" s="14" t="n">
        <v>1</v>
      </c>
      <c r="F9" s="14" t="n"/>
    </row>
    <row r="10">
      <c r="A10" t="inlineStr">
        <is>
          <t>operating_income FY2021: parsed vs XBRL</t>
        </is>
      </c>
      <c r="B10" s="14" t="n">
        <v>1132</v>
      </c>
      <c r="C10" s="14" t="n">
        <v>1132</v>
      </c>
      <c r="D10" s="14" t="n">
        <v>0</v>
      </c>
      <c r="E10" s="14" t="n">
        <v>1</v>
      </c>
      <c r="F10" s="14" t="n"/>
    </row>
    <row r="11">
      <c r="A11" t="inlineStr">
        <is>
          <t>operating_income FY2022: parsed vs XBRL</t>
        </is>
      </c>
      <c r="B11" s="14" t="n">
        <v>782</v>
      </c>
      <c r="C11" s="14" t="n">
        <v>782</v>
      </c>
      <c r="D11" s="14" t="n">
        <v>0</v>
      </c>
      <c r="E11" s="14" t="n">
        <v>1</v>
      </c>
      <c r="F11" s="14" t="n"/>
    </row>
    <row r="12">
      <c r="A12" t="inlineStr">
        <is>
          <t>operating_income FY2023: parsed vs XBRL</t>
        </is>
      </c>
      <c r="B12" s="14" t="n">
        <v>2089</v>
      </c>
      <c r="C12" s="14" t="n">
        <v>2089</v>
      </c>
      <c r="D12" s="14" t="n">
        <v>0</v>
      </c>
      <c r="E12" s="14" t="n">
        <v>1</v>
      </c>
      <c r="F12" s="14" t="n"/>
    </row>
    <row r="13">
      <c r="A13" t="inlineStr">
        <is>
          <t>operating_income FY2024: parsed vs XBRL</t>
        </is>
      </c>
      <c r="B13" s="14" t="n">
        <v>2190</v>
      </c>
      <c r="C13" s="14" t="n">
        <v>2190</v>
      </c>
      <c r="D13" s="14" t="n">
        <v>0</v>
      </c>
      <c r="E13" s="14" t="n">
        <v>1</v>
      </c>
      <c r="F13" s="14" t="n"/>
    </row>
    <row r="14">
      <c r="A14" t="inlineStr">
        <is>
          <t>operating_income FY2025: parsed vs XBRL</t>
        </is>
      </c>
      <c r="B14" s="14" t="n">
        <v>-437</v>
      </c>
      <c r="C14" s="14" t="n">
        <v>-437</v>
      </c>
      <c r="D14" s="14" t="n">
        <v>0</v>
      </c>
      <c r="E14" s="14" t="n">
        <v>1</v>
      </c>
      <c r="F14" s="14" t="n"/>
    </row>
    <row r="15">
      <c r="A15" t="inlineStr">
        <is>
          <t>cfo FY2021: parsed vs XBRL</t>
        </is>
      </c>
      <c r="B15" s="14" t="n">
        <v>5871</v>
      </c>
      <c r="C15" s="14" t="n">
        <v>5871</v>
      </c>
      <c r="D15" s="14" t="n">
        <v>0</v>
      </c>
      <c r="E15" s="14" t="n">
        <v>1</v>
      </c>
      <c r="F15" s="14" t="n"/>
    </row>
    <row r="16">
      <c r="A16" t="inlineStr">
        <is>
          <t>cfo FY2022: parsed vs XBRL</t>
        </is>
      </c>
      <c r="B16" s="14" t="n">
        <v>4593</v>
      </c>
      <c r="C16" s="14" t="n">
        <v>4593</v>
      </c>
      <c r="D16" s="14" t="n">
        <v>0</v>
      </c>
      <c r="E16" s="14" t="n">
        <v>1</v>
      </c>
      <c r="F16" s="14" t="n"/>
    </row>
    <row r="17">
      <c r="A17" t="inlineStr">
        <is>
          <t>cfo FY2023: parsed vs XBRL</t>
        </is>
      </c>
      <c r="B17" s="14" t="n">
        <v>4428</v>
      </c>
      <c r="C17" s="14" t="n">
        <v>4428</v>
      </c>
      <c r="D17" s="14" t="n">
        <v>0</v>
      </c>
      <c r="E17" s="14" t="n">
        <v>1</v>
      </c>
      <c r="F17" s="14" t="n"/>
    </row>
    <row r="18">
      <c r="A18" t="inlineStr">
        <is>
          <t>cfo FY2024: parsed vs XBRL</t>
        </is>
      </c>
      <c r="B18" s="14" t="n">
        <v>4341</v>
      </c>
      <c r="C18" s="14" t="n">
        <v>4341</v>
      </c>
      <c r="D18" s="14" t="n">
        <v>0</v>
      </c>
      <c r="E18" s="14" t="n">
        <v>1</v>
      </c>
      <c r="F18" s="14" t="n"/>
    </row>
    <row r="19">
      <c r="A19" t="inlineStr">
        <is>
          <t>cfo FY2025: parsed vs XBRL</t>
        </is>
      </c>
      <c r="B19" s="14" t="n">
        <v>2919</v>
      </c>
      <c r="C19" s="14" t="n">
        <v>2919</v>
      </c>
      <c r="D19" s="14" t="n">
        <v>0</v>
      </c>
      <c r="E19" s="14" t="n">
        <v>1</v>
      </c>
      <c r="F19" s="14" t="n"/>
    </row>
    <row r="20">
      <c r="A20" t="inlineStr">
        <is>
          <t>cash FY2021: parsed vs XBRL</t>
        </is>
      </c>
      <c r="B20" s="14" t="n">
        <v>3996</v>
      </c>
      <c r="C20" s="14" t="n">
        <v>3996</v>
      </c>
      <c r="D20" s="14" t="n">
        <v>0</v>
      </c>
      <c r="E20" s="14" t="n">
        <v>1</v>
      </c>
      <c r="F20" s="14" t="n"/>
    </row>
    <row r="21">
      <c r="A21" t="inlineStr">
        <is>
          <t>cash FY2022: parsed vs XBRL</t>
        </is>
      </c>
      <c r="B21" s="14" t="n">
        <v>4163</v>
      </c>
      <c r="C21" s="14" t="n">
        <v>4163</v>
      </c>
      <c r="D21" s="14" t="n">
        <v>0</v>
      </c>
      <c r="E21" s="14" t="n">
        <v>1</v>
      </c>
      <c r="F21" s="14" t="n"/>
    </row>
    <row r="22">
      <c r="A22" t="inlineStr">
        <is>
          <t>cash FY2023: parsed vs XBRL</t>
        </is>
      </c>
      <c r="B22" s="14" t="n">
        <v>4270</v>
      </c>
      <c r="C22" s="14" t="n">
        <v>4270</v>
      </c>
      <c r="D22" s="14" t="n">
        <v>0</v>
      </c>
      <c r="E22" s="14" t="n">
        <v>1</v>
      </c>
      <c r="F22" s="14" t="n"/>
    </row>
    <row r="23">
      <c r="A23" t="inlineStr">
        <is>
          <t>cash FY2024: parsed vs XBRL</t>
        </is>
      </c>
      <c r="B23" s="14" t="n">
        <v>14846</v>
      </c>
      <c r="C23" s="14" t="n">
        <v>14846</v>
      </c>
      <c r="D23" s="14" t="n">
        <v>0</v>
      </c>
      <c r="E23" s="14" t="n">
        <v>1</v>
      </c>
      <c r="F23" s="14" t="n"/>
    </row>
    <row r="24">
      <c r="A24" t="inlineStr">
        <is>
          <t>cash FY2025: parsed vs XBRL</t>
        </is>
      </c>
      <c r="B24" s="14" t="n">
        <v>5773</v>
      </c>
      <c r="C24" s="14" t="n">
        <v>5773</v>
      </c>
      <c r="D24" s="14" t="n">
        <v>0</v>
      </c>
      <c r="E24" s="14" t="n">
        <v>1</v>
      </c>
      <c r="F24" s="14" t="n"/>
    </row>
    <row r="25">
      <c r="A25" t="inlineStr">
        <is>
          <t>total_assets FY2021: parsed vs XBRL</t>
        </is>
      </c>
      <c r="B25" s="14" t="n">
        <v>57699</v>
      </c>
      <c r="C25" s="14" t="n">
        <v>57699</v>
      </c>
      <c r="D25" s="14" t="n">
        <v>0</v>
      </c>
      <c r="E25" s="14" t="n">
        <v>1</v>
      </c>
      <c r="F25" s="14" t="n"/>
    </row>
    <row r="26">
      <c r="A26" t="inlineStr">
        <is>
          <t>total_assets FY2022: parsed vs XBRL</t>
        </is>
      </c>
      <c r="B26" s="14" t="n">
        <v>57123</v>
      </c>
      <c r="C26" s="14" t="n">
        <v>57123</v>
      </c>
      <c r="D26" s="14" t="n">
        <v>0</v>
      </c>
      <c r="E26" s="14" t="n">
        <v>1</v>
      </c>
      <c r="F26" s="14" t="n"/>
    </row>
    <row r="27">
      <c r="A27" t="inlineStr">
        <is>
          <t>total_assets FY2023: parsed vs XBRL</t>
        </is>
      </c>
      <c r="B27" s="14" t="n">
        <v>57153</v>
      </c>
      <c r="C27" s="14" t="n">
        <v>57153</v>
      </c>
      <c r="D27" s="14" t="n">
        <v>0</v>
      </c>
      <c r="E27" s="14" t="n">
        <v>1</v>
      </c>
      <c r="F27" s="14" t="n"/>
    </row>
    <row r="28">
      <c r="A28" t="inlineStr">
        <is>
          <t>total_assets FY2024: parsed vs XBRL</t>
        </is>
      </c>
      <c r="B28" s="14" t="n">
        <v>71262</v>
      </c>
      <c r="C28" s="14" t="n">
        <v>71262</v>
      </c>
      <c r="D28" s="14" t="n">
        <v>0</v>
      </c>
      <c r="E28" s="14" t="n">
        <v>1</v>
      </c>
      <c r="F28" s="14" t="n"/>
    </row>
    <row r="29">
      <c r="A29" t="inlineStr">
        <is>
          <t>total_assets FY2025: parsed vs XBRL</t>
        </is>
      </c>
      <c r="B29" s="14" t="n">
        <v>75906</v>
      </c>
      <c r="C29" s="14" t="n">
        <v>75906</v>
      </c>
      <c r="D29" s="14" t="n">
        <v>0</v>
      </c>
      <c r="E29" s="14" t="n">
        <v>1</v>
      </c>
      <c r="F29" s="14" t="n"/>
    </row>
    <row r="30">
      <c r="A30" t="inlineStr">
        <is>
          <t>balance sheet balances FY2020</t>
        </is>
      </c>
      <c r="B30" s="14" t="n">
        <v>54015</v>
      </c>
      <c r="C30" s="14" t="n">
        <v>54015</v>
      </c>
      <c r="D30" s="14" t="n">
        <v>0</v>
      </c>
      <c r="E30" s="14" t="n">
        <v>1</v>
      </c>
      <c r="F30" s="14" t="n"/>
    </row>
    <row r="31">
      <c r="A31" t="inlineStr">
        <is>
          <t>balance sheet balances FY2021</t>
        </is>
      </c>
      <c r="B31" s="14" t="n">
        <v>57699</v>
      </c>
      <c r="C31" s="14" t="n">
        <v>57699</v>
      </c>
      <c r="D31" s="14" t="n">
        <v>0</v>
      </c>
      <c r="E31" s="14" t="n">
        <v>1</v>
      </c>
      <c r="F31" s="14" t="n"/>
    </row>
    <row r="32">
      <c r="A32" t="inlineStr">
        <is>
          <t>balance sheet balances FY2022</t>
        </is>
      </c>
      <c r="B32" s="14" t="n">
        <v>57123</v>
      </c>
      <c r="C32" s="14" t="n">
        <v>57123</v>
      </c>
      <c r="D32" s="14" t="n">
        <v>0</v>
      </c>
      <c r="E32" s="14" t="n">
        <v>1</v>
      </c>
      <c r="F32" s="14" t="n"/>
    </row>
    <row r="33">
      <c r="A33" t="inlineStr">
        <is>
          <t>balance sheet balances FY2023</t>
        </is>
      </c>
      <c r="B33" s="14" t="n">
        <v>57153</v>
      </c>
      <c r="C33" s="14" t="n">
        <v>57153</v>
      </c>
      <c r="D33" s="14" t="n">
        <v>0</v>
      </c>
      <c r="E33" s="14" t="n">
        <v>1</v>
      </c>
      <c r="F33" s="14" t="n"/>
    </row>
    <row r="34">
      <c r="A34" t="inlineStr">
        <is>
          <t>balance sheet balances FY2024</t>
        </is>
      </c>
      <c r="B34" s="14" t="n">
        <v>71262</v>
      </c>
      <c r="C34" s="14" t="n">
        <v>71262</v>
      </c>
      <c r="D34" s="14" t="n">
        <v>0</v>
      </c>
      <c r="E34" s="14" t="n">
        <v>1</v>
      </c>
      <c r="F34" s="14" t="n"/>
    </row>
    <row r="35">
      <c r="A35" t="inlineStr">
        <is>
          <t>balance sheet balances FY2025</t>
        </is>
      </c>
      <c r="B35" s="14" t="n">
        <v>75906</v>
      </c>
      <c r="C35" s="14" t="n">
        <v>75906</v>
      </c>
      <c r="D35" s="14" t="n">
        <v>0</v>
      </c>
      <c r="E35" s="14" t="n">
        <v>1</v>
      </c>
      <c r="F35" s="14" t="n"/>
    </row>
    <row r="36">
      <c r="A36" t="inlineStr">
        <is>
          <t>balance sheet balances TTM Q3 FY26</t>
        </is>
      </c>
      <c r="B36" s="14" t="n">
        <v>83596</v>
      </c>
      <c r="C36" s="14" t="n">
        <v>83596</v>
      </c>
      <c r="D36" s="14" t="n">
        <v>0</v>
      </c>
      <c r="E36" s="14" t="n">
        <v>1</v>
      </c>
      <c r="F36" s="14" t="n"/>
    </row>
    <row r="37">
      <c r="A37" t="inlineStr">
        <is>
          <t>TTM revenue = FY25 + 9M26 - 9M25</t>
        </is>
      </c>
      <c r="B37" s="14" t="n">
        <v>41871</v>
      </c>
      <c r="C37" s="14" t="n">
        <v>41871</v>
      </c>
      <c r="D37" s="14" t="n">
        <v>0</v>
      </c>
      <c r="E37" s="14" t="n">
        <v>1</v>
      </c>
      <c r="F37" s="14" t="n"/>
    </row>
    <row r="38">
      <c r="A38" t="inlineStr">
        <is>
          <t>FCF (HPE definition) FY2020 vs company-reported</t>
        </is>
      </c>
      <c r="B38" s="14" t="n">
        <v>560</v>
      </c>
      <c r="C38" s="14" t="n">
        <v>560</v>
      </c>
      <c r="D38" s="14" t="n">
        <v>0</v>
      </c>
      <c r="E38" s="14" t="n">
        <v>1</v>
      </c>
      <c r="F38" s="14" t="n"/>
    </row>
    <row r="39">
      <c r="A39" t="inlineStr">
        <is>
          <t>FCF (HPE definition) FY2021 vs company-reported</t>
        </is>
      </c>
      <c r="B39" s="14" t="n">
        <v>3723</v>
      </c>
      <c r="C39" s="14" t="n">
        <v>1551</v>
      </c>
      <c r="D39" s="14" t="n">
        <v>1.400386847195358</v>
      </c>
      <c r="E39" s="14" t="n">
        <v>1</v>
      </c>
      <c r="F39" s="14" t="inlineStr">
        <is>
          <t>explained difference (see hpe_non_gaap_annual.csv)</t>
        </is>
      </c>
    </row>
    <row r="40">
      <c r="A40" t="inlineStr">
        <is>
          <t>FCF (HPE definition) FY2022 vs company-reported</t>
        </is>
      </c>
      <c r="B40" s="14" t="n">
        <v>1794</v>
      </c>
      <c r="C40" s="14" t="n">
        <v>1794</v>
      </c>
      <c r="D40" s="14" t="n">
        <v>0</v>
      </c>
      <c r="E40" s="14" t="n">
        <v>1</v>
      </c>
      <c r="F40" s="14" t="n"/>
    </row>
    <row r="41">
      <c r="A41" t="inlineStr">
        <is>
          <t>FCF (HPE definition) FY2023 vs company-reported</t>
        </is>
      </c>
      <c r="B41" s="14" t="n">
        <v>2238</v>
      </c>
      <c r="C41" s="14" t="n">
        <v>2238</v>
      </c>
      <c r="D41" s="14" t="n">
        <v>0</v>
      </c>
      <c r="E41" s="14" t="n">
        <v>1</v>
      </c>
      <c r="F41" s="14" t="n"/>
    </row>
    <row r="42">
      <c r="A42" t="inlineStr">
        <is>
          <t>FCF (HPE definition) FY2024 vs company-reported</t>
        </is>
      </c>
      <c r="B42" s="14" t="n">
        <v>2297</v>
      </c>
      <c r="C42" s="14" t="n">
        <v>2297</v>
      </c>
      <c r="D42" s="14" t="n">
        <v>0</v>
      </c>
      <c r="E42" s="14" t="n">
        <v>1</v>
      </c>
      <c r="F42" s="14" t="n"/>
    </row>
    <row r="43">
      <c r="A43" t="inlineStr">
        <is>
          <t>FCF (HPE definition) FY2025 vs company-reported</t>
        </is>
      </c>
      <c r="B43" s="14" t="n">
        <v>986</v>
      </c>
      <c r="C43" s="14" t="n">
        <v>986</v>
      </c>
      <c r="D43" s="14" t="n">
        <v>0</v>
      </c>
      <c r="E43" s="14" t="n">
        <v>1</v>
      </c>
      <c r="F43" s="14" t="n"/>
    </row>
    <row r="44">
      <c r="A44" t="inlineStr">
        <is>
          <t>FCF (HPE definition) TTM Q3 FY26 vs company-reported</t>
        </is>
      </c>
      <c r="B44" s="14" t="n">
        <v>4501</v>
      </c>
      <c r="C44" s="14" t="n">
        <v>4501</v>
      </c>
      <c r="D44" s="14" t="n">
        <v>0</v>
      </c>
      <c r="E44" s="14" t="n">
        <v>1</v>
      </c>
      <c r="F44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Statistical analysis (statsmodels)</t>
        </is>
      </c>
    </row>
    <row r="2">
      <c r="A2" s="2" t="inlineStr">
        <is>
          <t>Regressions with Newey-West HAC errors; SARIMA revenue baseline; return diagnostics — see code/statistical_analysis.py</t>
        </is>
      </c>
    </row>
    <row r="4">
      <c r="A4" s="15" t="inlineStr">
        <is>
          <t>R1: HPE revenue growth (YoY) on cloud capex growth, lags 0–2, Juniper dummy</t>
        </is>
      </c>
    </row>
    <row r="5">
      <c r="A5" s="3" t="inlineStr">
        <is>
          <t>Unnamed: 0</t>
        </is>
      </c>
      <c r="B5" s="4" t="inlineStr">
        <is>
          <t>coef</t>
        </is>
      </c>
      <c r="C5" s="4" t="inlineStr">
        <is>
          <t>std_err_hac</t>
        </is>
      </c>
      <c r="D5" s="4" t="inlineStr">
        <is>
          <t>t</t>
        </is>
      </c>
      <c r="E5" s="4" t="inlineStr">
        <is>
          <t>p_value</t>
        </is>
      </c>
      <c r="F5" s="4" t="inlineStr">
        <is>
          <t>ci_low</t>
        </is>
      </c>
      <c r="G5" s="4" t="inlineStr">
        <is>
          <t>ci_high</t>
        </is>
      </c>
    </row>
    <row r="6">
      <c r="A6" t="inlineStr">
        <is>
          <t>const</t>
        </is>
      </c>
      <c r="B6" s="16" t="n">
        <v>-0.0440890596722253</v>
      </c>
      <c r="C6" s="16" t="n">
        <v>0.0307925809293637</v>
      </c>
      <c r="D6" s="16" t="n">
        <v>-1.431807868699378</v>
      </c>
      <c r="E6" s="16" t="n">
        <v>0.1521988147187674</v>
      </c>
      <c r="F6" s="16" t="n">
        <v>-0.1044414092848131</v>
      </c>
      <c r="G6" s="16" t="n">
        <v>0.0162632899403624</v>
      </c>
    </row>
    <row r="7">
      <c r="A7" t="inlineStr">
        <is>
          <t>capex_yoy_lag0</t>
        </is>
      </c>
      <c r="B7" s="16" t="n">
        <v>0.0980396176529575</v>
      </c>
      <c r="C7" s="16" t="n">
        <v>0.06544749953441931</v>
      </c>
      <c r="D7" s="16" t="n">
        <v>1.497988744419454</v>
      </c>
      <c r="E7" s="16" t="n">
        <v>0.1341361748276572</v>
      </c>
      <c r="F7" s="16" t="n">
        <v>-0.0302351243127062</v>
      </c>
      <c r="G7" s="16" t="n">
        <v>0.2263143596186213</v>
      </c>
    </row>
    <row r="8">
      <c r="A8" t="inlineStr">
        <is>
          <t>capex_yoy_lag1</t>
        </is>
      </c>
      <c r="B8" s="16" t="n">
        <v>0.1191169836545483</v>
      </c>
      <c r="C8" s="16" t="n">
        <v>0.06858240732584769</v>
      </c>
      <c r="D8" s="16" t="n">
        <v>1.736844597603603</v>
      </c>
      <c r="E8" s="16" t="n">
        <v>0.08241460470124461</v>
      </c>
      <c r="F8" s="16" t="n">
        <v>-0.0153020646771691</v>
      </c>
      <c r="G8" s="16" t="n">
        <v>0.2535360319862658</v>
      </c>
    </row>
    <row r="9">
      <c r="A9" t="inlineStr">
        <is>
          <t>capex_yoy_lag2</t>
        </is>
      </c>
      <c r="B9" s="16" t="n">
        <v>-0.0263474388598421</v>
      </c>
      <c r="C9" s="16" t="n">
        <v>0.0363907330618341</v>
      </c>
      <c r="D9" s="16" t="n">
        <v>-0.7240150621608353</v>
      </c>
      <c r="E9" s="16" t="n">
        <v>0.4690564880565837</v>
      </c>
      <c r="F9" s="16" t="n">
        <v>-0.097671965032048</v>
      </c>
      <c r="G9" s="16" t="n">
        <v>0.0449770873123636</v>
      </c>
    </row>
    <row r="10">
      <c r="A10" t="inlineStr">
        <is>
          <t>juniper_dummy</t>
        </is>
      </c>
      <c r="B10" s="16" t="n">
        <v>0.1542705635272901</v>
      </c>
      <c r="C10" s="16" t="n">
        <v>0.0444018562716564</v>
      </c>
      <c r="D10" s="16" t="n">
        <v>3.474416983457685</v>
      </c>
      <c r="E10" s="16" t="n">
        <v>0.0005119647558711</v>
      </c>
      <c r="F10" s="16" t="n">
        <v>0.06724452438811961</v>
      </c>
      <c r="G10" s="16" t="n">
        <v>0.2412966026664605</v>
      </c>
    </row>
    <row r="13">
      <c r="A13" s="15" t="inlineStr">
        <is>
          <t>R1b: same, pre-Juniper quarters only</t>
        </is>
      </c>
    </row>
    <row r="14">
      <c r="A14" s="3" t="inlineStr">
        <is>
          <t>Unnamed: 0</t>
        </is>
      </c>
      <c r="B14" s="4" t="inlineStr">
        <is>
          <t>coef</t>
        </is>
      </c>
      <c r="C14" s="4" t="inlineStr">
        <is>
          <t>std_err_hac</t>
        </is>
      </c>
      <c r="D14" s="4" t="inlineStr">
        <is>
          <t>t</t>
        </is>
      </c>
      <c r="E14" s="4" t="inlineStr">
        <is>
          <t>p_value</t>
        </is>
      </c>
      <c r="F14" s="4" t="inlineStr">
        <is>
          <t>ci_low</t>
        </is>
      </c>
      <c r="G14" s="4" t="inlineStr">
        <is>
          <t>ci_high</t>
        </is>
      </c>
    </row>
    <row r="15">
      <c r="A15" t="inlineStr">
        <is>
          <t>const</t>
        </is>
      </c>
      <c r="B15" s="16" t="n">
        <v>-0.0418936332174982</v>
      </c>
      <c r="C15" s="16" t="n">
        <v>0.0304221948324738</v>
      </c>
      <c r="D15" s="16" t="n">
        <v>-1.377074647249951</v>
      </c>
      <c r="E15" s="16" t="n">
        <v>0.1684891701478369</v>
      </c>
      <c r="F15" s="16" t="n">
        <v>-0.1015200394198074</v>
      </c>
      <c r="G15" s="16" t="n">
        <v>0.017732772984811</v>
      </c>
    </row>
    <row r="16">
      <c r="A16" t="inlineStr">
        <is>
          <t>capex_yoy_lag0</t>
        </is>
      </c>
      <c r="B16" s="16" t="n">
        <v>0.08383580244127189</v>
      </c>
      <c r="C16" s="16" t="n">
        <v>0.06529112831663481</v>
      </c>
      <c r="D16" s="16" t="n">
        <v>1.284030535277367</v>
      </c>
      <c r="E16" s="16" t="n">
        <v>0.1991312714589259</v>
      </c>
      <c r="F16" s="16" t="n">
        <v>-0.0441324575693156</v>
      </c>
      <c r="G16" s="16" t="n">
        <v>0.2118040624518595</v>
      </c>
    </row>
    <row r="17">
      <c r="A17" t="inlineStr">
        <is>
          <t>capex_yoy_lag1</t>
        </is>
      </c>
      <c r="B17" s="16" t="n">
        <v>0.1257031767647044</v>
      </c>
      <c r="C17" s="16" t="n">
        <v>0.0695533957076017</v>
      </c>
      <c r="D17" s="16" t="n">
        <v>1.80729029094644</v>
      </c>
      <c r="E17" s="16" t="n">
        <v>0.07071702907055651</v>
      </c>
      <c r="F17" s="16" t="n">
        <v>-0.0106189738246577</v>
      </c>
      <c r="G17" s="16" t="n">
        <v>0.2620253273540667</v>
      </c>
    </row>
    <row r="18">
      <c r="A18" t="inlineStr">
        <is>
          <t>capex_yoy_lag2</t>
        </is>
      </c>
      <c r="B18" s="16" t="n">
        <v>-0.0264692429238523</v>
      </c>
      <c r="C18" s="16" t="n">
        <v>0.0373882986760099</v>
      </c>
      <c r="D18" s="16" t="n">
        <v>-0.7079552657162282</v>
      </c>
      <c r="E18" s="16" t="n">
        <v>0.4789730379333574</v>
      </c>
      <c r="F18" s="16" t="n">
        <v>-0.0997489617720583</v>
      </c>
      <c r="G18" s="16" t="n">
        <v>0.0468104759243537</v>
      </c>
    </row>
    <row r="21">
      <c r="A21" s="15" t="inlineStr">
        <is>
          <t>R2: change in HPE gross margin (pp) on change in Micron gross margin (pp)</t>
        </is>
      </c>
    </row>
    <row r="22">
      <c r="A22" s="3" t="inlineStr">
        <is>
          <t>Unnamed: 0</t>
        </is>
      </c>
      <c r="B22" s="4" t="inlineStr">
        <is>
          <t>coef</t>
        </is>
      </c>
      <c r="C22" s="4" t="inlineStr">
        <is>
          <t>std_err_hac</t>
        </is>
      </c>
      <c r="D22" s="4" t="inlineStr">
        <is>
          <t>t</t>
        </is>
      </c>
      <c r="E22" s="4" t="inlineStr">
        <is>
          <t>p_value</t>
        </is>
      </c>
      <c r="F22" s="4" t="inlineStr">
        <is>
          <t>ci_low</t>
        </is>
      </c>
      <c r="G22" s="4" t="inlineStr">
        <is>
          <t>ci_high</t>
        </is>
      </c>
    </row>
    <row r="23">
      <c r="A23" t="inlineStr">
        <is>
          <t>const</t>
        </is>
      </c>
      <c r="B23" s="16" t="n">
        <v>-0.2349226231175515</v>
      </c>
      <c r="C23" s="16" t="n">
        <v>0.730397888688027</v>
      </c>
      <c r="D23" s="16" t="n">
        <v>-0.3216365035494967</v>
      </c>
      <c r="E23" s="16" t="n">
        <v>0.7477280862788007</v>
      </c>
      <c r="F23" s="16" t="n">
        <v>-1.66647617933018</v>
      </c>
      <c r="G23" s="16" t="n">
        <v>1.196630933095077</v>
      </c>
    </row>
    <row r="24">
      <c r="A24" t="inlineStr">
        <is>
          <t>micron_gm_change_lag0</t>
        </is>
      </c>
      <c r="B24" s="16" t="n">
        <v>-0.0459467470967387</v>
      </c>
      <c r="C24" s="16" t="n">
        <v>0.0148778951864202</v>
      </c>
      <c r="D24" s="16" t="n">
        <v>-3.088255866910296</v>
      </c>
      <c r="E24" s="16" t="n">
        <v>0.0020133504177263</v>
      </c>
      <c r="F24" s="16" t="n">
        <v>-0.0751068858278842</v>
      </c>
      <c r="G24" s="16" t="n">
        <v>-0.0167866083655932</v>
      </c>
    </row>
    <row r="25">
      <c r="A25" t="inlineStr">
        <is>
          <t>micron_gm_change_lag1</t>
        </is>
      </c>
      <c r="B25" s="16" t="n">
        <v>0.009125743544119699</v>
      </c>
      <c r="C25" s="16" t="n">
        <v>0.0253075598251946</v>
      </c>
      <c r="D25" s="16" t="n">
        <v>0.3605935778539471</v>
      </c>
      <c r="E25" s="16" t="n">
        <v>0.7184032909042917</v>
      </c>
      <c r="F25" s="16" t="n">
        <v>-0.0404761622498545</v>
      </c>
      <c r="G25" s="16" t="n">
        <v>0.0587276493380939</v>
      </c>
    </row>
    <row r="26">
      <c r="A26" t="inlineStr">
        <is>
          <t>micron_gm_change_lag2</t>
        </is>
      </c>
      <c r="B26" s="16" t="n">
        <v>-0.0231283866821922</v>
      </c>
      <c r="C26" s="16" t="n">
        <v>0.030961817046062</v>
      </c>
      <c r="D26" s="16" t="n">
        <v>-0.7469970721609812</v>
      </c>
      <c r="E26" s="16" t="n">
        <v>0.4550653281647505</v>
      </c>
      <c r="F26" s="16" t="n">
        <v>-0.0838124329883921</v>
      </c>
      <c r="G26" s="16" t="n">
        <v>0.0375556596240075</v>
      </c>
    </row>
    <row r="27">
      <c r="A27" t="inlineStr">
        <is>
          <t>juniper_dummy</t>
        </is>
      </c>
      <c r="B27" s="16" t="n">
        <v>6.813126155328705</v>
      </c>
      <c r="C27" s="16" t="n">
        <v>2.022308695508809</v>
      </c>
      <c r="D27" s="16" t="n">
        <v>3.368984255697192</v>
      </c>
      <c r="E27" s="16" t="n">
        <v>0.000754457382617</v>
      </c>
      <c r="F27" s="16" t="n">
        <v>2.84947394650926</v>
      </c>
      <c r="G27" s="16" t="n">
        <v>10.77677836414815</v>
      </c>
    </row>
    <row r="30">
      <c r="A30" s="15" t="inlineStr">
        <is>
          <t>SARIMA model selection by AICc (top 8)</t>
        </is>
      </c>
    </row>
    <row r="31">
      <c r="A31" s="3" t="inlineStr">
        <is>
          <t>order</t>
        </is>
      </c>
      <c r="B31" s="4" t="inlineStr">
        <is>
          <t>seasonal</t>
        </is>
      </c>
      <c r="C31" s="4" t="inlineStr">
        <is>
          <t>aicc</t>
        </is>
      </c>
      <c r="D31" s="4" t="inlineStr">
        <is>
          <t>aic</t>
        </is>
      </c>
      <c r="E31" s="4" t="inlineStr">
        <is>
          <t>converged</t>
        </is>
      </c>
    </row>
    <row r="32">
      <c r="A32" t="inlineStr">
        <is>
          <t>(0, 0, 1)</t>
        </is>
      </c>
      <c r="B32" t="inlineStr">
        <is>
          <t>(0, 0, 0)</t>
        </is>
      </c>
      <c r="C32" s="16" t="n">
        <v>-80.76052032075344</v>
      </c>
      <c r="D32" s="16" t="n">
        <v>-81.68359724383036</v>
      </c>
      <c r="E32" t="inlineStr">
        <is>
          <t>True</t>
        </is>
      </c>
    </row>
    <row r="33">
      <c r="A33" t="inlineStr">
        <is>
          <t>(1, 0, 0)</t>
        </is>
      </c>
      <c r="B33" t="inlineStr">
        <is>
          <t>(0, 0, 0)</t>
        </is>
      </c>
      <c r="C33" s="16" t="n">
        <v>-79.2250694206604</v>
      </c>
      <c r="D33" s="16" t="n">
        <v>-80.14814634373732</v>
      </c>
      <c r="E33" t="inlineStr">
        <is>
          <t>True</t>
        </is>
      </c>
    </row>
    <row r="34">
      <c r="A34" t="inlineStr">
        <is>
          <t>(1, 0, 1)</t>
        </is>
      </c>
      <c r="B34" t="inlineStr">
        <is>
          <t>(1, 0, 0)</t>
        </is>
      </c>
      <c r="C34" s="16" t="n">
        <v>-79.04331614941496</v>
      </c>
      <c r="D34" s="16" t="n">
        <v>-81.54331614941496</v>
      </c>
      <c r="E34" t="inlineStr">
        <is>
          <t>True</t>
        </is>
      </c>
    </row>
    <row r="35">
      <c r="A35" t="inlineStr">
        <is>
          <t>(2, 0, 0)</t>
        </is>
      </c>
      <c r="B35" t="inlineStr">
        <is>
          <t>(0, 0, 0)</t>
        </is>
      </c>
      <c r="C35" s="16" t="n">
        <v>-78.00979528579686</v>
      </c>
      <c r="D35" s="16" t="n">
        <v>-79.60979528579685</v>
      </c>
      <c r="E35" t="inlineStr">
        <is>
          <t>True</t>
        </is>
      </c>
    </row>
    <row r="36">
      <c r="A36" t="inlineStr">
        <is>
          <t>(2, 1, 0)</t>
        </is>
      </c>
      <c r="B36" t="inlineStr">
        <is>
          <t>(0, 0, 0)</t>
        </is>
      </c>
      <c r="C36" s="16" t="n">
        <v>-77.66229737274683</v>
      </c>
      <c r="D36" s="16" t="n">
        <v>-78.58537429582375</v>
      </c>
      <c r="E36" t="inlineStr">
        <is>
          <t>True</t>
        </is>
      </c>
    </row>
    <row r="37">
      <c r="A37" t="inlineStr">
        <is>
          <t>(2, 0, 0)</t>
        </is>
      </c>
      <c r="B37" t="inlineStr">
        <is>
          <t>(1, 0, 0)</t>
        </is>
      </c>
      <c r="C37" s="16" t="n">
        <v>-77.10192681009327</v>
      </c>
      <c r="D37" s="16" t="n">
        <v>-79.60192681009327</v>
      </c>
      <c r="E37" t="inlineStr">
        <is>
          <t>True</t>
        </is>
      </c>
    </row>
    <row r="38">
      <c r="A38" t="inlineStr">
        <is>
          <t>(0, 1, 0)</t>
        </is>
      </c>
      <c r="B38" t="inlineStr">
        <is>
          <t>(1, 0, 0)</t>
        </is>
      </c>
      <c r="C38" s="16" t="n">
        <v>-76.84608108904516</v>
      </c>
      <c r="D38" s="16" t="n">
        <v>-77.2905255334896</v>
      </c>
      <c r="E38" t="inlineStr">
        <is>
          <t>True</t>
        </is>
      </c>
    </row>
    <row r="39">
      <c r="A39" t="inlineStr">
        <is>
          <t>(1, 1, 1)</t>
        </is>
      </c>
      <c r="B39" t="inlineStr">
        <is>
          <t>(1, 0, 0)</t>
        </is>
      </c>
      <c r="C39" s="16" t="n">
        <v>-76.43902131534753</v>
      </c>
      <c r="D39" s="16" t="n">
        <v>-78.03902131534753</v>
      </c>
      <c r="E39" t="inlineStr">
        <is>
          <t>True</t>
        </is>
      </c>
    </row>
    <row r="42">
      <c r="A42" s="15" t="inlineStr">
        <is>
          <t>One-step rolling backtest, last 8 pre-Juniper quarters ($m)</t>
        </is>
      </c>
    </row>
    <row r="43">
      <c r="A43" s="3" t="inlineStr">
        <is>
          <t>quarter</t>
        </is>
      </c>
      <c r="B43" s="4" t="inlineStr">
        <is>
          <t>actual</t>
        </is>
      </c>
      <c r="C43" s="4" t="inlineStr">
        <is>
          <t>arima</t>
        </is>
      </c>
      <c r="D43" s="4" t="inlineStr">
        <is>
          <t>random_walk</t>
        </is>
      </c>
      <c r="E43" s="4" t="inlineStr">
        <is>
          <t>seasonal_naive</t>
        </is>
      </c>
    </row>
    <row r="44">
      <c r="A44" t="inlineStr">
        <is>
          <t>2023Q2</t>
        </is>
      </c>
      <c r="B44" s="16" t="n">
        <v>7001.999999999995</v>
      </c>
      <c r="C44" s="16" t="n">
        <v>6979.352717584006</v>
      </c>
      <c r="D44" s="16" t="n">
        <v>6972.999999999995</v>
      </c>
      <c r="E44" s="16" t="n">
        <v>6950.999999999997</v>
      </c>
    </row>
    <row r="45">
      <c r="A45" t="inlineStr">
        <is>
          <t>2023Q3</t>
        </is>
      </c>
      <c r="B45" s="16" t="n">
        <v>7350.999999999995</v>
      </c>
      <c r="C45" s="16" t="n">
        <v>7188.721388372651</v>
      </c>
      <c r="D45" s="16" t="n">
        <v>7001.999999999995</v>
      </c>
      <c r="E45" s="16" t="n">
        <v>7870.999999999994</v>
      </c>
    </row>
    <row r="46">
      <c r="A46" t="inlineStr">
        <is>
          <t>2023Q4</t>
        </is>
      </c>
      <c r="B46" s="16" t="n">
        <v>6754.999999999996</v>
      </c>
      <c r="C46" s="16" t="n">
        <v>7288.72706993437</v>
      </c>
      <c r="D46" s="16" t="n">
        <v>7350.999999999995</v>
      </c>
      <c r="E46" s="16" t="n">
        <v>7809.000000000002</v>
      </c>
    </row>
    <row r="47">
      <c r="A47" t="inlineStr">
        <is>
          <t>2024Q1</t>
        </is>
      </c>
      <c r="B47" s="16" t="n">
        <v>7204.000000000001</v>
      </c>
      <c r="C47" s="16" t="n">
        <v>6814.331107889596</v>
      </c>
      <c r="D47" s="16" t="n">
        <v>6754.999999999996</v>
      </c>
      <c r="E47" s="16" t="n">
        <v>6972.999999999995</v>
      </c>
    </row>
    <row r="48">
      <c r="A48" t="inlineStr">
        <is>
          <t>2024Q2</t>
        </is>
      </c>
      <c r="B48" s="16" t="n">
        <v>7709.999999999999</v>
      </c>
      <c r="C48" s="16" t="n">
        <v>7398.184677051378</v>
      </c>
      <c r="D48" s="16" t="n">
        <v>7204.000000000001</v>
      </c>
      <c r="E48" s="16" t="n">
        <v>7001.999999999995</v>
      </c>
    </row>
    <row r="49">
      <c r="A49" t="inlineStr">
        <is>
          <t>2024Q3</t>
        </is>
      </c>
      <c r="B49" s="16" t="n">
        <v>8458.000000000005</v>
      </c>
      <c r="C49" s="16" t="n">
        <v>7360.645997958367</v>
      </c>
      <c r="D49" s="16" t="n">
        <v>7709.999999999999</v>
      </c>
      <c r="E49" s="16" t="n">
        <v>7350.999999999995</v>
      </c>
    </row>
    <row r="50">
      <c r="A50" t="inlineStr">
        <is>
          <t>2024Q4</t>
        </is>
      </c>
      <c r="B50" s="16" t="n">
        <v>7854.000000000006</v>
      </c>
      <c r="C50" s="16" t="n">
        <v>7872.81529545054</v>
      </c>
      <c r="D50" s="16" t="n">
        <v>8458.000000000005</v>
      </c>
      <c r="E50" s="16" t="n">
        <v>6754.999999999996</v>
      </c>
    </row>
    <row r="51">
      <c r="A51" t="inlineStr">
        <is>
          <t>2025Q1</t>
        </is>
      </c>
      <c r="B51" s="16" t="n">
        <v>7626.999999999999</v>
      </c>
      <c r="C51" s="16" t="n">
        <v>7235.230854923676</v>
      </c>
      <c r="D51" s="16" t="n">
        <v>7854.000000000006</v>
      </c>
      <c r="E51" s="16" t="n">
        <v>7204.000000000001</v>
      </c>
    </row>
    <row r="54">
      <c r="A54" s="15" t="inlineStr">
        <is>
          <t>Counterfactual forecast vs actual ($m)</t>
        </is>
      </c>
    </row>
    <row r="55">
      <c r="A55" s="3" t="inlineStr">
        <is>
          <t>Unnamed: 0</t>
        </is>
      </c>
      <c r="B55" s="4" t="inlineStr">
        <is>
          <t>fiscal_quarter</t>
        </is>
      </c>
      <c r="C55" s="4" t="inlineStr">
        <is>
          <t>forecast</t>
        </is>
      </c>
      <c r="D55" s="4" t="inlineStr">
        <is>
          <t>lo80</t>
        </is>
      </c>
      <c r="E55" s="4" t="inlineStr">
        <is>
          <t>hi80</t>
        </is>
      </c>
      <c r="F55" s="4" t="inlineStr">
        <is>
          <t>lo95</t>
        </is>
      </c>
      <c r="G55" s="4" t="inlineStr">
        <is>
          <t>hi95</t>
        </is>
      </c>
      <c r="H55" s="4" t="inlineStr">
        <is>
          <t>actual</t>
        </is>
      </c>
      <c r="I55" s="4" t="inlineStr">
        <is>
          <t>actual_vs_forecast</t>
        </is>
      </c>
      <c r="J55" s="4" t="inlineStr">
        <is>
          <t>outside_95</t>
        </is>
      </c>
    </row>
    <row r="56">
      <c r="A56" t="inlineStr">
        <is>
          <t>2025Q2</t>
        </is>
      </c>
      <c r="B56" t="inlineStr">
        <is>
          <t>Q3 FY25</t>
        </is>
      </c>
      <c r="C56" s="16" t="n">
        <v>7478.837167330837</v>
      </c>
      <c r="D56" s="16" t="n">
        <v>6963.582091932272</v>
      </c>
      <c r="E56" s="16" t="n">
        <v>8032.21741871197</v>
      </c>
      <c r="F56" s="16" t="n">
        <v>6705.351696791737</v>
      </c>
      <c r="G56" s="16" t="n">
        <v>8341.546857596002</v>
      </c>
      <c r="H56" s="16" t="n">
        <v>9135.999999999998</v>
      </c>
      <c r="I56" s="16" t="n">
        <v>0.2215802798739894</v>
      </c>
      <c r="J56" t="inlineStr">
        <is>
          <t>True</t>
        </is>
      </c>
    </row>
    <row r="57">
      <c r="A57" t="inlineStr">
        <is>
          <t>2025Q3</t>
        </is>
      </c>
      <c r="B57" t="inlineStr">
        <is>
          <t>Q4 FY25</t>
        </is>
      </c>
      <c r="C57" s="16" t="n">
        <v>7263.916692435499</v>
      </c>
      <c r="D57" s="16" t="n">
        <v>6684.471401746357</v>
      </c>
      <c r="E57" s="16" t="n">
        <v>7893.591361742989</v>
      </c>
      <c r="F57" s="16" t="n">
        <v>6396.68375475038</v>
      </c>
      <c r="G57" s="16" t="n">
        <v>8248.725079688129</v>
      </c>
      <c r="H57" s="16" t="n">
        <v>9679.000000000007</v>
      </c>
      <c r="I57" s="16" t="n">
        <v>0.3324767353237308</v>
      </c>
      <c r="J57" t="inlineStr">
        <is>
          <t>True</t>
        </is>
      </c>
    </row>
    <row r="58">
      <c r="A58" t="inlineStr">
        <is>
          <t>2025Q4</t>
        </is>
      </c>
      <c r="B58" t="inlineStr">
        <is>
          <t>Q1 FY26</t>
        </is>
      </c>
      <c r="C58" s="16" t="n">
        <v>7263.916692435499</v>
      </c>
      <c r="D58" s="16" t="n">
        <v>6684.471401746357</v>
      </c>
      <c r="E58" s="16" t="n">
        <v>7893.591361742989</v>
      </c>
      <c r="F58" s="16" t="n">
        <v>6396.68375475038</v>
      </c>
      <c r="G58" s="16" t="n">
        <v>8248.725079688129</v>
      </c>
      <c r="H58" s="16" t="n">
        <v>9301.000000000004</v>
      </c>
      <c r="I58" s="16" t="n">
        <v>0.2804386935888023</v>
      </c>
      <c r="J58" t="inlineStr">
        <is>
          <t>True</t>
        </is>
      </c>
    </row>
    <row r="59">
      <c r="A59" t="inlineStr">
        <is>
          <t>2026Q1</t>
        </is>
      </c>
      <c r="B59" t="inlineStr">
        <is>
          <t>Q2 FY26</t>
        </is>
      </c>
      <c r="C59" s="16" t="n">
        <v>7263.916692435499</v>
      </c>
      <c r="D59" s="16" t="n">
        <v>6684.471401746357</v>
      </c>
      <c r="E59" s="16" t="n">
        <v>7893.591361742989</v>
      </c>
      <c r="F59" s="16" t="n">
        <v>6396.68375475038</v>
      </c>
      <c r="G59" s="16" t="n">
        <v>8248.725079688129</v>
      </c>
      <c r="H59" s="16" t="n">
        <v>10678</v>
      </c>
      <c r="I59" s="16" t="n">
        <v>0.4700058456231821</v>
      </c>
      <c r="J59" t="inlineStr">
        <is>
          <t>True</t>
        </is>
      </c>
    </row>
    <row r="60">
      <c r="A60" t="inlineStr">
        <is>
          <t>2026Q2</t>
        </is>
      </c>
      <c r="B60" t="inlineStr">
        <is>
          <t>Q3 FY26</t>
        </is>
      </c>
      <c r="C60" s="16" t="n">
        <v>7263.916692435499</v>
      </c>
      <c r="D60" s="16" t="n">
        <v>6684.471401746357</v>
      </c>
      <c r="E60" s="16" t="n">
        <v>7893.591361742989</v>
      </c>
      <c r="F60" s="16" t="n">
        <v>6396.68375475038</v>
      </c>
      <c r="G60" s="16" t="n">
        <v>8248.725079688129</v>
      </c>
      <c r="H60" s="16" t="n">
        <v>12213</v>
      </c>
      <c r="I60" s="16" t="n">
        <v>0.6813243484356557</v>
      </c>
      <c r="J60" t="inlineStr">
        <is>
          <t>True</t>
        </is>
      </c>
    </row>
    <row r="61">
      <c r="A61" t="inlineStr">
        <is>
          <t>2026Q3</t>
        </is>
      </c>
      <c r="B61" t="inlineStr">
        <is>
          <t>Q4 FY26</t>
        </is>
      </c>
      <c r="C61" s="16" t="n">
        <v>7263.916692435499</v>
      </c>
      <c r="D61" s="16" t="n">
        <v>6684.471401746357</v>
      </c>
      <c r="E61" s="16" t="n">
        <v>7893.591361742989</v>
      </c>
      <c r="F61" s="16" t="n">
        <v>6396.68375475038</v>
      </c>
      <c r="G61" s="16" t="n">
        <v>8248.725079688129</v>
      </c>
      <c r="H61" s="16" t="n">
        <v/>
      </c>
      <c r="I61" s="16" t="n">
        <v/>
      </c>
      <c r="J61" t="inlineStr">
        <is>
          <t>False</t>
        </is>
      </c>
    </row>
    <row r="62">
      <c r="A62" t="inlineStr">
        <is>
          <t>2026Q4</t>
        </is>
      </c>
      <c r="B62" t="inlineStr">
        <is>
          <t>Q1 FY27</t>
        </is>
      </c>
      <c r="C62" s="16" t="n">
        <v>7263.916692435499</v>
      </c>
      <c r="D62" s="16" t="n">
        <v>6684.471401746357</v>
      </c>
      <c r="E62" s="16" t="n">
        <v>7893.591361742989</v>
      </c>
      <c r="F62" s="16" t="n">
        <v>6396.68375475038</v>
      </c>
      <c r="G62" s="16" t="n">
        <v>8248.725079688129</v>
      </c>
      <c r="H62" s="16" t="n">
        <v/>
      </c>
      <c r="I62" s="16" t="n">
        <v/>
      </c>
      <c r="J62" t="inlineStr">
        <is>
          <t>False</t>
        </is>
      </c>
    </row>
    <row r="63">
      <c r="A63" t="inlineStr">
        <is>
          <t>2027Q1</t>
        </is>
      </c>
      <c r="B63" t="inlineStr">
        <is>
          <t>Q2 FY27</t>
        </is>
      </c>
      <c r="C63" s="16" t="n">
        <v>7263.916692435499</v>
      </c>
      <c r="D63" s="16" t="n">
        <v>6684.471401746357</v>
      </c>
      <c r="E63" s="16" t="n">
        <v>7893.591361742989</v>
      </c>
      <c r="F63" s="16" t="n">
        <v>6396.68375475038</v>
      </c>
      <c r="G63" s="16" t="n">
        <v>8248.725079688129</v>
      </c>
      <c r="H63" s="16" t="n">
        <v/>
      </c>
      <c r="I63" s="16" t="n">
        <v/>
      </c>
      <c r="J63" t="inlineStr">
        <is>
          <t>False</t>
        </is>
      </c>
    </row>
    <row r="64">
      <c r="A64" t="inlineStr">
        <is>
          <t>2027Q2</t>
        </is>
      </c>
      <c r="B64" t="inlineStr">
        <is>
          <t>Q3 FY27</t>
        </is>
      </c>
      <c r="C64" s="16" t="n">
        <v>7263.916692435499</v>
      </c>
      <c r="D64" s="16" t="n">
        <v>6684.471401746357</v>
      </c>
      <c r="E64" s="16" t="n">
        <v>7893.591361742989</v>
      </c>
      <c r="F64" s="16" t="n">
        <v>6396.68375475038</v>
      </c>
      <c r="G64" s="16" t="n">
        <v>8248.725079688129</v>
      </c>
      <c r="H64" s="16" t="n">
        <v/>
      </c>
      <c r="I64" s="16" t="n">
        <v/>
      </c>
      <c r="J64" t="inlineStr">
        <is>
          <t>False</t>
        </is>
      </c>
    </row>
    <row r="65">
      <c r="A65" t="inlineStr">
        <is>
          <t>2027Q3</t>
        </is>
      </c>
      <c r="B65" t="inlineStr">
        <is>
          <t>Q4 FY27</t>
        </is>
      </c>
      <c r="C65" s="16" t="n">
        <v>7263.916692435499</v>
      </c>
      <c r="D65" s="16" t="n">
        <v>6684.471401746357</v>
      </c>
      <c r="E65" s="16" t="n">
        <v>7893.591361742989</v>
      </c>
      <c r="F65" s="16" t="n">
        <v>6396.68375475038</v>
      </c>
      <c r="G65" s="16" t="n">
        <v>8248.725079688129</v>
      </c>
      <c r="H65" s="16" t="n">
        <v/>
      </c>
      <c r="I65" s="16" t="n">
        <v/>
      </c>
      <c r="J65" t="inlineStr">
        <is>
          <t>False</t>
        </is>
      </c>
    </row>
    <row r="68">
      <c r="A68" s="15" t="inlineStr">
        <is>
          <t>Daily return diagnostics since listing</t>
        </is>
      </c>
    </row>
    <row r="69">
      <c r="A69" s="3" t="inlineStr">
        <is>
          <t>test</t>
        </is>
      </c>
      <c r="B69" s="4" t="inlineStr">
        <is>
          <t>statistic</t>
        </is>
      </c>
      <c r="C69" s="4" t="inlineStr">
        <is>
          <t>p_value</t>
        </is>
      </c>
      <c r="D69" s="4" t="inlineStr">
        <is>
          <t>reading</t>
        </is>
      </c>
    </row>
    <row r="70">
      <c r="A70" t="inlineStr">
        <is>
          <t>ADF, log price</t>
        </is>
      </c>
      <c r="B70" s="16" t="n">
        <v>0.2148338215487775</v>
      </c>
      <c r="C70" s="16" t="n">
        <v>0.9730814126546889</v>
      </c>
      <c r="D70" t="inlineStr">
        <is>
          <t>Unit root not rejected → prices are non-stationary</t>
        </is>
      </c>
    </row>
    <row r="71">
      <c r="A71" t="inlineStr">
        <is>
          <t>ADF, daily log returns</t>
        </is>
      </c>
      <c r="B71" s="16" t="n">
        <v>-18.78921724291201</v>
      </c>
      <c r="C71" s="16" t="n">
        <v>2.023593038964183e-30</v>
      </c>
      <c r="D71" t="inlineStr">
        <is>
          <t>Stationary</t>
        </is>
      </c>
    </row>
    <row r="72">
      <c r="A72" t="inlineStr">
        <is>
          <t>Ljung-Box returns, lag 10</t>
        </is>
      </c>
      <c r="B72" s="16" t="n">
        <v>17.62246251584242</v>
      </c>
      <c r="C72" s="16" t="n">
        <v>0.0616760441367586</v>
      </c>
      <c r="D72" t="inlineStr">
        <is>
          <t>No significant autocorrelation</t>
        </is>
      </c>
    </row>
    <row r="73">
      <c r="A73" t="inlineStr">
        <is>
          <t>Ljung-Box returns, lag 20</t>
        </is>
      </c>
      <c r="B73" s="16" t="n">
        <v>29.08623275030963</v>
      </c>
      <c r="C73" s="16" t="n">
        <v>0.08607525732236759</v>
      </c>
      <c r="D73" s="16" t="n">
        <v/>
      </c>
    </row>
    <row r="74">
      <c r="A74" t="inlineStr">
        <is>
          <t>Ljung-Box squared returns, lag 10</t>
        </is>
      </c>
      <c r="B74" s="16" t="n">
        <v>558.3026320471224</v>
      </c>
      <c r="C74" s="16" t="n">
        <v>1.49801657682419e-113</v>
      </c>
      <c r="D74" t="inlineStr">
        <is>
          <t>Volatility clustering</t>
        </is>
      </c>
    </row>
    <row r="75">
      <c r="A75" t="inlineStr">
        <is>
          <t>Engle ARCH-LM, 5 lags</t>
        </is>
      </c>
      <c r="B75" s="16" t="n">
        <v>250.8131669365303</v>
      </c>
      <c r="C75" s="16" t="n">
        <v>3.678250573790924e-52</v>
      </c>
      <c r="D75" t="inlineStr">
        <is>
          <t>ARCH effects</t>
        </is>
      </c>
    </row>
    <row r="76">
      <c r="A76" t="inlineStr">
        <is>
          <t>Jarque-Bera normality</t>
        </is>
      </c>
      <c r="B76" s="16" t="n">
        <v>5500.731103111989</v>
      </c>
      <c r="C76" s="16" t="n">
        <v>0</v>
      </c>
      <c r="D76" t="inlineStr">
        <is>
          <t>Non-normal (fat tails)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2026-09-14T19:18:15Z</dcterms:created>
  <dcterms:modified xmlns:dcterms="http://purl.org/dc/terms/" xmlns:xsi="http://www.w3.org/2001/XMLSchema-instance" xsi:type="dcterms:W3CDTF">2026-09-14T19:18:15Z</dcterms:modified>
</cp:coreProperties>
</file>