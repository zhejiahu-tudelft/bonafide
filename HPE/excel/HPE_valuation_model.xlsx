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DCF_Bear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Sens WACC x g" sheetId="7" state="visible" r:id="rId7"/>
    <sheet xmlns:r="http://schemas.openxmlformats.org/officeDocument/2006/relationships" name="Sens growth x margin" sheetId="8" state="visible" r:id="rId8"/>
    <sheet xmlns:r="http://schemas.openxmlformats.org/officeDocument/2006/relationships" name="Driver sensitivity" sheetId="9" state="visible" r:id="rId9"/>
    <sheet xmlns:r="http://schemas.openxmlformats.org/officeDocument/2006/relationships" name="Comps implied" sheetId="10" state="visible" r:id="rId10"/>
    <sheet xmlns:r="http://schemas.openxmlformats.org/officeDocument/2006/relationships" name="M&amp;A" sheetId="11" state="visible" r:id="rId11"/>
    <sheet xmlns:r="http://schemas.openxmlformats.org/officeDocument/2006/relationships" name="Football field" sheetId="12" state="visible" r:id="rId12"/>
    <sheet xmlns:r="http://schemas.openxmlformats.org/officeDocument/2006/relationships" name="Reverse DCF" sheetId="13" state="visible" r:id="rId13"/>
    <sheet xmlns:r="http://schemas.openxmlformats.org/officeDocument/2006/relationships" name="Peer multiples" sheetId="14" state="visible" r:id="rId14"/>
    <sheet xmlns:r="http://schemas.openxmlformats.org/officeDocument/2006/relationships" name="Dilu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#,##0.0"/>
    <numFmt numFmtId="167" formatCode="#,##0;(#,##0);&quot;–&quot;"/>
    <numFmt numFmtId="168" formatCode="0.000"/>
    <numFmt numFmtId="169" formatCode="0.0%"/>
    <numFmt numFmtId="170" formatCode="0.0%;(0.0%);&quot;–&quot;"/>
  </numFmts>
  <fonts count="7">
    <font>
      <name val="Calibri"/>
      <family val="2"/>
      <color theme="1"/>
      <sz val="11"/>
      <scheme val="minor"/>
    </font>
    <font>
      <b val="1"/>
      <color rgb="00135927"/>
      <sz val="14"/>
    </font>
    <font>
      <i val="1"/>
      <color rgb="005A6660"/>
    </font>
    <font>
      <b val="1"/>
      <color rgb="00FFFFFF"/>
    </font>
    <font>
      <color rgb="001F4FB4"/>
    </font>
    <font>
      <b val="1"/>
    </font>
    <font>
      <b val="1"/>
      <color rgb="00135927"/>
    </font>
  </fonts>
  <fills count="3">
    <fill>
      <patternFill/>
    </fill>
    <fill>
      <patternFill patternType="gray125"/>
    </fill>
    <fill>
      <patternFill patternType="solid">
        <fgColor rgb="001359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2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0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9" fontId="4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170" fontId="4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170" fontId="0" fillId="0" borderId="0" pivotButton="0" quotePrefix="0" xfId="0"/>
    <xf numFmtId="9" fontId="0" fillId="0" borderId="0" pivotButton="0" quotePrefix="0" xfId="0"/>
    <xf numFmtId="2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0" customWidth="1" min="3" max="3"/>
  </cols>
  <sheetData>
    <row r="1">
      <c r="A1" s="1" t="inlineStr">
        <is>
          <t>HPE valuation model — inputs</t>
        </is>
      </c>
    </row>
    <row r="2">
      <c r="A2" s="2" t="inlineStr">
        <is>
          <t>Blue = input. Valuation date 11-Sep-2026. $ millions except per-share.</t>
        </is>
      </c>
    </row>
    <row r="4">
      <c r="A4" s="3" t="inlineStr">
        <is>
          <t>Input</t>
        </is>
      </c>
      <c r="B4" s="4" t="inlineStr">
        <is>
          <t>Value</t>
        </is>
      </c>
      <c r="C4" s="4" t="inlineStr">
        <is>
          <t>Source / note</t>
        </is>
      </c>
    </row>
    <row r="5">
      <c r="A5" t="inlineStr">
        <is>
          <t>Valuation date</t>
        </is>
      </c>
      <c r="B5" s="5" t="n">
        <v>46276</v>
      </c>
      <c r="C5" t="inlineStr">
        <is>
          <t>Last completed session before report date</t>
        </is>
      </c>
    </row>
    <row r="6">
      <c r="A6" t="inlineStr">
        <is>
          <t>Share price ($)</t>
        </is>
      </c>
      <c r="B6" s="6" t="n">
        <v>62.09000015258789</v>
      </c>
      <c r="C6" t="inlineStr">
        <is>
          <t>Yahoo Finance close 11-Sep-2026</t>
        </is>
      </c>
    </row>
    <row r="7">
      <c r="A7" t="inlineStr">
        <is>
          <t>Fully diluted shares (m)</t>
        </is>
      </c>
      <c r="B7" s="7" t="n">
        <v>1445.21</v>
      </c>
      <c r="C7" t="inlineStr">
        <is>
          <t>Dilution sheet</t>
        </is>
      </c>
    </row>
    <row r="8">
      <c r="A8" t="inlineStr">
        <is>
          <t>Gross debt 31-Jul-2026</t>
        </is>
      </c>
      <c r="B8" s="8" t="n">
        <v>20244</v>
      </c>
      <c r="C8" t="inlineStr">
        <is>
          <t>Q3 FY26 balance sheet (incl. Financial Services debt)</t>
        </is>
      </c>
    </row>
    <row r="9">
      <c r="A9" t="inlineStr">
        <is>
          <t>Cash &amp; equivalents 31-Jul-2026</t>
        </is>
      </c>
      <c r="B9" s="8" t="n">
        <v>6216</v>
      </c>
      <c r="C9" t="inlineStr">
        <is>
          <t>Q3 FY26 balance sheet</t>
        </is>
      </c>
    </row>
    <row r="10">
      <c r="A10" t="inlineStr">
        <is>
          <t>Non-controlling interests</t>
        </is>
      </c>
      <c r="B10" s="8" t="n">
        <v>62</v>
      </c>
      <c r="C10" t="inlineStr">
        <is>
          <t>Q3 FY26 balance sheet</t>
        </is>
      </c>
    </row>
    <row r="11">
      <c r="A11" t="inlineStr">
        <is>
          <t>Risk-free rate (10Y UST)</t>
        </is>
      </c>
      <c r="B11" s="9" t="n">
        <v>0.0495</v>
      </c>
      <c r="C11" t="inlineStr">
        <is>
          <t>FRED DGS10, latest observation</t>
        </is>
      </c>
    </row>
    <row r="12">
      <c r="A12" t="inlineStr">
        <is>
          <t>Equity risk premium</t>
        </is>
      </c>
      <c r="B12" s="9" t="n">
        <v>0.0397</v>
      </c>
      <c r="C12" t="inlineStr">
        <is>
          <t>Damodaran implied ERP, start-2026</t>
        </is>
      </c>
    </row>
    <row r="13">
      <c r="A13" t="inlineStr">
        <is>
          <t>Unlevered beta — Computers/Peripherals</t>
        </is>
      </c>
      <c r="B13" s="10" t="n">
        <v>1.324587</v>
      </c>
      <c r="C13" t="inlineStr">
        <is>
          <t>Damodaran betas.xls Jan-2026 (cash-corrected)</t>
        </is>
      </c>
    </row>
    <row r="14">
      <c r="A14" t="inlineStr">
        <is>
          <t>Unlevered beta — Telecom equipment</t>
        </is>
      </c>
      <c r="B14" s="10" t="n">
        <v>0.887251</v>
      </c>
      <c r="C14" t="inlineStr">
        <is>
          <t>Damodaran betas.xls Jan-2026 (cash-corrected)</t>
        </is>
      </c>
    </row>
    <row r="15">
      <c r="A15" t="inlineStr">
        <is>
          <t>Networking weight (TTM segment profit)</t>
        </is>
      </c>
      <c r="B15" s="11" t="n">
        <v>0.4045</v>
      </c>
      <c r="C15" t="inlineStr">
        <is>
          <t>Segment analysis</t>
        </is>
      </c>
    </row>
    <row r="16">
      <c r="A16" t="inlineStr">
        <is>
          <t>Default spread (BBB/Baa2)</t>
        </is>
      </c>
      <c r="B16" s="9" t="n">
        <v>0.011113</v>
      </c>
      <c r="C16" t="inlineStr">
        <is>
          <t>Damodaran synthetic rating table; S&amp;P BBB</t>
        </is>
      </c>
    </row>
    <row r="17">
      <c r="A17" t="inlineStr">
        <is>
          <t>Marginal tax rate</t>
        </is>
      </c>
      <c r="B17" s="12" t="n">
        <v>0.21</v>
      </c>
      <c r="C17" t="inlineStr">
        <is>
          <t>US federal statutory</t>
        </is>
      </c>
    </row>
    <row r="18">
      <c r="A18" t="inlineStr">
        <is>
          <t>Operating tax rate</t>
        </is>
      </c>
      <c r="B18" s="12" t="n">
        <v>0.17</v>
      </c>
      <c r="C18" t="inlineStr">
        <is>
          <t>Analyst: 14% non-GAAP structural rate + leakage</t>
        </is>
      </c>
    </row>
    <row r="19">
      <c r="A19" t="inlineStr">
        <is>
          <t>FY26E revenue</t>
        </is>
      </c>
      <c r="B19" s="8" t="n">
        <v>46500</v>
      </c>
      <c r="C19" t="inlineStr">
        <is>
          <t>Guidance +34–37% on FY25 $34,296m; consensus $46,377m</t>
        </is>
      </c>
    </row>
    <row r="20">
      <c r="A20" t="inlineStr">
        <is>
          <t>Q4 FY26E FCFF (stub)</t>
        </is>
      </c>
      <c r="B20" s="8" t="n">
        <v>1100</v>
      </c>
      <c r="C20" t="inlineStr">
        <is>
          <t>Analyst estimate from FY26 FCF guidance</t>
        </is>
      </c>
    </row>
    <row r="21">
      <c r="A21" t="inlineStr">
        <is>
          <t>SBC % revenue</t>
        </is>
      </c>
      <c r="B21" s="11" t="n">
        <v>0.018</v>
      </c>
      <c r="C21" t="inlineStr">
        <is>
          <t>TTM 1.9%</t>
        </is>
      </c>
    </row>
    <row r="22">
      <c r="A22" t="inlineStr">
        <is>
          <t>Depreciation % revenue</t>
        </is>
      </c>
      <c r="B22" s="11" t="n">
        <v>0.05</v>
      </c>
      <c r="C22" t="inlineStr">
        <is>
          <t>TTM 5.3% ex amortisation</t>
        </is>
      </c>
    </row>
    <row r="23">
      <c r="A23" t="inlineStr">
        <is>
          <t>Net capex above depreciation (% revenue)</t>
        </is>
      </c>
      <c r="B23" s="11" t="n">
        <v>0.002</v>
      </c>
      <c r="C23" t="inlineStr">
        <is>
          <t>Analyst</t>
        </is>
      </c>
    </row>
    <row r="24">
      <c r="A24" t="inlineStr">
        <is>
          <t>Terminal return on new capital</t>
        </is>
      </c>
      <c r="B24" s="11" t="n">
        <v>0.12</v>
      </c>
      <c r="C24" t="inlineStr">
        <is>
          <t>Analyst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Cost of capital (live formulas)</t>
        </is>
      </c>
    </row>
    <row r="4">
      <c r="A4" s="3" t="inlineStr">
        <is>
          <t>Item</t>
        </is>
      </c>
      <c r="B4" s="4" t="inlineStr">
        <is>
          <t>Value</t>
        </is>
      </c>
    </row>
    <row r="5">
      <c r="A5" t="inlineStr">
        <is>
          <t>Unlevered beta (profit-weighted)</t>
        </is>
      </c>
      <c r="B5" s="13">
        <f>Inputs!$B$15*Inputs!$B$14+(1-Inputs!$B$15)*Inputs!$B$13</f>
        <v/>
      </c>
    </row>
    <row r="6">
      <c r="A6" t="inlineStr">
        <is>
          <t>Market value of equity (fully diluted)</t>
        </is>
      </c>
      <c r="B6" s="14">
        <f>Inputs!$B$6*Inputs!$B$7</f>
        <v/>
      </c>
    </row>
    <row r="7">
      <c r="A7" t="inlineStr">
        <is>
          <t>Debt / equity</t>
        </is>
      </c>
      <c r="B7" s="15">
        <f>Inputs!$B$8/B6</f>
        <v/>
      </c>
    </row>
    <row r="8">
      <c r="A8" t="inlineStr">
        <is>
          <t>Levered beta</t>
        </is>
      </c>
      <c r="B8" s="13">
        <f>B5*(1+(1-Inputs!$B$17)*B7)</f>
        <v/>
      </c>
    </row>
    <row r="9">
      <c r="A9" t="inlineStr">
        <is>
          <t>Cost of equity</t>
        </is>
      </c>
      <c r="B9" s="16">
        <f>Inputs!$B$11+B8*Inputs!$B$12</f>
        <v/>
      </c>
    </row>
    <row r="10">
      <c r="A10" t="inlineStr">
        <is>
          <t>Pre-tax cost of debt</t>
        </is>
      </c>
      <c r="B10" s="16">
        <f>Inputs!$B$11+Inputs!$B$16</f>
        <v/>
      </c>
    </row>
    <row r="11">
      <c r="A11" t="inlineStr">
        <is>
          <t>After-tax cost of debt</t>
        </is>
      </c>
      <c r="B11" s="16">
        <f>B10*(1-Inputs!$B$17)</f>
        <v/>
      </c>
    </row>
    <row r="12">
      <c r="A12" t="inlineStr">
        <is>
          <t>Equity weight</t>
        </is>
      </c>
      <c r="B12" s="15">
        <f>B6/(B6+Inputs!$B$8)</f>
        <v/>
      </c>
    </row>
    <row r="13">
      <c r="A13" s="17" t="inlineStr">
        <is>
          <t>WACC</t>
        </is>
      </c>
      <c r="B13" s="16">
        <f>B12*B9+(1-B12)*B11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DCF — Bear case (live formulas)</t>
        </is>
      </c>
    </row>
    <row r="2">
      <c r="A2" s="2" t="inlineStr">
        <is>
          <t>AI-server digestion and memory-cost normalisation reverse FY26 ASP gains; networking share loss to Cisco/Arista; margins revert toward the pre-Juniper mix-adjusted ~10–11%.</t>
        </is>
      </c>
    </row>
    <row r="4">
      <c r="A4" t="inlineStr">
        <is>
          <t>Terminal growth</t>
        </is>
      </c>
      <c r="B4" s="9" t="n">
        <v>0.0225</v>
      </c>
    </row>
    <row r="5">
      <c r="A5" t="inlineStr">
        <is>
          <t>NWC investment (% of Δrevenue)</t>
        </is>
      </c>
      <c r="B5" s="9" t="n">
        <v>0.07000000000000001</v>
      </c>
    </row>
    <row r="6">
      <c r="A6" t="inlineStr">
        <is>
          <t>Scenario probability</t>
        </is>
      </c>
      <c r="B6" s="9" t="n">
        <v>0.25</v>
      </c>
    </row>
    <row r="8">
      <c r="A8" s="3" t="inlineStr">
        <is>
          <t>$ millions</t>
        </is>
      </c>
      <c r="B8" s="4" t="inlineStr">
        <is>
          <t>FY2027E</t>
        </is>
      </c>
      <c r="C8" s="4" t="inlineStr">
        <is>
          <t>FY2028E</t>
        </is>
      </c>
      <c r="D8" s="4" t="inlineStr">
        <is>
          <t>FY2029E</t>
        </is>
      </c>
      <c r="E8" s="4" t="inlineStr">
        <is>
          <t>FY2030E</t>
        </is>
      </c>
      <c r="F8" s="4" t="inlineStr">
        <is>
          <t>FY2031E</t>
        </is>
      </c>
      <c r="G8" s="4" t="inlineStr">
        <is>
          <t>FY2032E</t>
        </is>
      </c>
      <c r="H8" s="4" t="inlineStr">
        <is>
          <t>FY2033E</t>
        </is>
      </c>
      <c r="I8" s="4" t="inlineStr">
        <is>
          <t>FY2034E</t>
        </is>
      </c>
      <c r="J8" s="4" t="inlineStr">
        <is>
          <t>FY2035E</t>
        </is>
      </c>
      <c r="K8" s="4" t="inlineStr">
        <is>
          <t>FY2036E</t>
        </is>
      </c>
    </row>
    <row r="9">
      <c r="A9" t="inlineStr">
        <is>
          <t>Fiscal year end</t>
        </is>
      </c>
      <c r="B9" t="n">
        <v>2027</v>
      </c>
      <c r="C9" t="n">
        <v>2028</v>
      </c>
      <c r="D9" t="n">
        <v>2029</v>
      </c>
      <c r="E9" t="n">
        <v>2030</v>
      </c>
      <c r="F9" t="n">
        <v>2031</v>
      </c>
      <c r="G9" t="n">
        <v>2032</v>
      </c>
      <c r="H9" t="n">
        <v>2033</v>
      </c>
      <c r="I9" t="n">
        <v>2034</v>
      </c>
      <c r="J9" t="n">
        <v>2035</v>
      </c>
      <c r="K9" t="n">
        <v>2036</v>
      </c>
    </row>
    <row r="10">
      <c r="A10" t="inlineStr">
        <is>
          <t>Revenue growth</t>
        </is>
      </c>
      <c r="B10" s="18" t="n">
        <v>0.1</v>
      </c>
      <c r="C10" s="18" t="n">
        <v>-0.03</v>
      </c>
      <c r="D10" s="18" t="n">
        <v>0.02</v>
      </c>
      <c r="E10" s="18" t="n">
        <v>0.025</v>
      </c>
      <c r="F10" s="18" t="n">
        <v>0.025</v>
      </c>
      <c r="G10" s="18" t="n">
        <v>0.025</v>
      </c>
      <c r="H10" s="18" t="n">
        <v>0.02</v>
      </c>
      <c r="I10" s="18" t="n">
        <v>0.02</v>
      </c>
      <c r="J10" s="18" t="n">
        <v>0.02</v>
      </c>
      <c r="K10" s="18" t="n">
        <v>0.02</v>
      </c>
    </row>
    <row r="11">
      <c r="A11" t="inlineStr">
        <is>
          <t>Non-GAAP operating margin</t>
        </is>
      </c>
      <c r="B11" s="18" t="n">
        <v>0.13</v>
      </c>
      <c r="C11" s="18" t="n">
        <v>0.11</v>
      </c>
      <c r="D11" s="18" t="n">
        <v>0.105</v>
      </c>
      <c r="E11" s="18" t="n">
        <v>0.105</v>
      </c>
      <c r="F11" s="18" t="n">
        <v>0.105</v>
      </c>
      <c r="G11" s="18" t="n">
        <v>0.105</v>
      </c>
      <c r="H11" s="18" t="n">
        <v>0.105</v>
      </c>
      <c r="I11" s="18" t="n">
        <v>0.105</v>
      </c>
      <c r="J11" s="18" t="n">
        <v>0.105</v>
      </c>
      <c r="K11" s="18" t="n">
        <v>0.105</v>
      </c>
    </row>
    <row r="12">
      <c r="A12" t="inlineStr">
        <is>
          <t>Revenue</t>
        </is>
      </c>
      <c r="B12" s="14">
        <f>Inputs!$B$19*(1+B10)</f>
        <v/>
      </c>
      <c r="C12" s="14">
        <f>B12*(1+C10)</f>
        <v/>
      </c>
      <c r="D12" s="14">
        <f>C12*(1+D10)</f>
        <v/>
      </c>
      <c r="E12" s="14">
        <f>D12*(1+E10)</f>
        <v/>
      </c>
      <c r="F12" s="14">
        <f>E12*(1+F10)</f>
        <v/>
      </c>
      <c r="G12" s="14">
        <f>F12*(1+G10)</f>
        <v/>
      </c>
      <c r="H12" s="14">
        <f>G12*(1+H10)</f>
        <v/>
      </c>
      <c r="I12" s="14">
        <f>H12*(1+I10)</f>
        <v/>
      </c>
      <c r="J12" s="14">
        <f>I12*(1+J10)</f>
        <v/>
      </c>
      <c r="K12" s="14">
        <f>J12*(1+K10)</f>
        <v/>
      </c>
    </row>
    <row r="13">
      <c r="A13" t="inlineStr">
        <is>
          <t>SBC</t>
        </is>
      </c>
      <c r="B13" s="14">
        <f>B12*Inputs!$B$21</f>
        <v/>
      </c>
      <c r="C13" s="14">
        <f>C12*Inputs!$B$21</f>
        <v/>
      </c>
      <c r="D13" s="14">
        <f>D12*Inputs!$B$21</f>
        <v/>
      </c>
      <c r="E13" s="14">
        <f>E12*Inputs!$B$21</f>
        <v/>
      </c>
      <c r="F13" s="14">
        <f>F12*Inputs!$B$21</f>
        <v/>
      </c>
      <c r="G13" s="14">
        <f>G12*Inputs!$B$21</f>
        <v/>
      </c>
      <c r="H13" s="14">
        <f>H12*Inputs!$B$21</f>
        <v/>
      </c>
      <c r="I13" s="14">
        <f>I12*Inputs!$B$21</f>
        <v/>
      </c>
      <c r="J13" s="14">
        <f>J12*Inputs!$B$21</f>
        <v/>
      </c>
      <c r="K13" s="14">
        <f>K12*Inputs!$B$21</f>
        <v/>
      </c>
    </row>
    <row r="14">
      <c r="A14" t="inlineStr">
        <is>
          <t>Restructuring cash costs</t>
        </is>
      </c>
      <c r="B14" s="8" t="n">
        <v>300</v>
      </c>
      <c r="C14" s="8" t="n">
        <v>150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t="inlineStr">
        <is>
          <t>EBIT (after SBC)</t>
        </is>
      </c>
      <c r="B15" s="14">
        <f>B12*(B11-Inputs!$B$21)-B14</f>
        <v/>
      </c>
      <c r="C15" s="14">
        <f>C12*(C11-Inputs!$B$21)-C14</f>
        <v/>
      </c>
      <c r="D15" s="14">
        <f>D12*(D11-Inputs!$B$21)-D14</f>
        <v/>
      </c>
      <c r="E15" s="14">
        <f>E12*(E11-Inputs!$B$21)-E14</f>
        <v/>
      </c>
      <c r="F15" s="14">
        <f>F12*(F11-Inputs!$B$21)-F14</f>
        <v/>
      </c>
      <c r="G15" s="14">
        <f>G12*(G11-Inputs!$B$21)-G14</f>
        <v/>
      </c>
      <c r="H15" s="14">
        <f>H12*(H11-Inputs!$B$21)-H14</f>
        <v/>
      </c>
      <c r="I15" s="14">
        <f>I12*(I11-Inputs!$B$21)-I14</f>
        <v/>
      </c>
      <c r="J15" s="14">
        <f>J12*(J11-Inputs!$B$21)-J14</f>
        <v/>
      </c>
      <c r="K15" s="14">
        <f>K12*(K11-Inputs!$B$21)-K14</f>
        <v/>
      </c>
    </row>
    <row r="16">
      <c r="A16" t="inlineStr">
        <is>
          <t>Operating taxes</t>
        </is>
      </c>
      <c r="B16" s="14">
        <f>B15*Inputs!$B$18</f>
        <v/>
      </c>
      <c r="C16" s="14">
        <f>C15*Inputs!$B$18</f>
        <v/>
      </c>
      <c r="D16" s="14">
        <f>D15*Inputs!$B$18</f>
        <v/>
      </c>
      <c r="E16" s="14">
        <f>E15*Inputs!$B$18</f>
        <v/>
      </c>
      <c r="F16" s="14">
        <f>F15*Inputs!$B$18</f>
        <v/>
      </c>
      <c r="G16" s="14">
        <f>G15*Inputs!$B$18</f>
        <v/>
      </c>
      <c r="H16" s="14">
        <f>H15*Inputs!$B$18</f>
        <v/>
      </c>
      <c r="I16" s="14">
        <f>I15*Inputs!$B$18</f>
        <v/>
      </c>
      <c r="J16" s="14">
        <f>J15*Inputs!$B$18</f>
        <v/>
      </c>
      <c r="K16" s="14">
        <f>K15*Inputs!$B$18</f>
        <v/>
      </c>
    </row>
    <row r="17">
      <c r="A17" t="inlineStr">
        <is>
          <t>NOPAT</t>
        </is>
      </c>
      <c r="B17" s="14">
        <f>B15-B16</f>
        <v/>
      </c>
      <c r="C17" s="14">
        <f>C15-C16</f>
        <v/>
      </c>
      <c r="D17" s="14">
        <f>D15-D16</f>
        <v/>
      </c>
      <c r="E17" s="14">
        <f>E15-E16</f>
        <v/>
      </c>
      <c r="F17" s="14">
        <f>F15-F16</f>
        <v/>
      </c>
      <c r="G17" s="14">
        <f>G15-G16</f>
        <v/>
      </c>
      <c r="H17" s="14">
        <f>H15-H16</f>
        <v/>
      </c>
      <c r="I17" s="14">
        <f>I15-I16</f>
        <v/>
      </c>
      <c r="J17" s="14">
        <f>J15-J16</f>
        <v/>
      </c>
      <c r="K17" s="14">
        <f>K15-K16</f>
        <v/>
      </c>
    </row>
    <row r="18">
      <c r="A18" t="inlineStr">
        <is>
          <t>Depreciation</t>
        </is>
      </c>
      <c r="B18" s="14">
        <f>B12*Inputs!$B$22</f>
        <v/>
      </c>
      <c r="C18" s="14">
        <f>C12*Inputs!$B$22</f>
        <v/>
      </c>
      <c r="D18" s="14">
        <f>D12*Inputs!$B$22</f>
        <v/>
      </c>
      <c r="E18" s="14">
        <f>E12*Inputs!$B$22</f>
        <v/>
      </c>
      <c r="F18" s="14">
        <f>F12*Inputs!$B$22</f>
        <v/>
      </c>
      <c r="G18" s="14">
        <f>G12*Inputs!$B$22</f>
        <v/>
      </c>
      <c r="H18" s="14">
        <f>H12*Inputs!$B$22</f>
        <v/>
      </c>
      <c r="I18" s="14">
        <f>I12*Inputs!$B$22</f>
        <v/>
      </c>
      <c r="J18" s="14">
        <f>J12*Inputs!$B$22</f>
        <v/>
      </c>
      <c r="K18" s="14">
        <f>K12*Inputs!$B$22</f>
        <v/>
      </c>
    </row>
    <row r="19">
      <c r="A19" t="inlineStr">
        <is>
          <t>Net capex</t>
        </is>
      </c>
      <c r="B19" s="14">
        <f>B12*(Inputs!$B$22+Inputs!$B$23)</f>
        <v/>
      </c>
      <c r="C19" s="14">
        <f>C12*(Inputs!$B$22+Inputs!$B$23)</f>
        <v/>
      </c>
      <c r="D19" s="14">
        <f>D12*(Inputs!$B$22+Inputs!$B$23)</f>
        <v/>
      </c>
      <c r="E19" s="14">
        <f>E12*(Inputs!$B$22+Inputs!$B$23)</f>
        <v/>
      </c>
      <c r="F19" s="14">
        <f>F12*(Inputs!$B$22+Inputs!$B$23)</f>
        <v/>
      </c>
      <c r="G19" s="14">
        <f>G12*(Inputs!$B$22+Inputs!$B$23)</f>
        <v/>
      </c>
      <c r="H19" s="14">
        <f>H12*(Inputs!$B$22+Inputs!$B$23)</f>
        <v/>
      </c>
      <c r="I19" s="14">
        <f>I12*(Inputs!$B$22+Inputs!$B$23)</f>
        <v/>
      </c>
      <c r="J19" s="14">
        <f>J12*(Inputs!$B$22+Inputs!$B$23)</f>
        <v/>
      </c>
      <c r="K19" s="14">
        <f>K12*(Inputs!$B$22+Inputs!$B$23)</f>
        <v/>
      </c>
    </row>
    <row r="20">
      <c r="A20" t="inlineStr">
        <is>
          <t>Δ Net working capital</t>
        </is>
      </c>
      <c r="B20" s="14">
        <f>$B$5*(B12-Inputs!$B$19)</f>
        <v/>
      </c>
      <c r="C20" s="14">
        <f>$B$5*(C12-B12)</f>
        <v/>
      </c>
      <c r="D20" s="14">
        <f>$B$5*(D12-C12)</f>
        <v/>
      </c>
      <c r="E20" s="14">
        <f>$B$5*(E12-D12)</f>
        <v/>
      </c>
      <c r="F20" s="14">
        <f>$B$5*(F12-E12)</f>
        <v/>
      </c>
      <c r="G20" s="14">
        <f>$B$5*(G12-F12)</f>
        <v/>
      </c>
      <c r="H20" s="14">
        <f>$B$5*(H12-G12)</f>
        <v/>
      </c>
      <c r="I20" s="14">
        <f>$B$5*(I12-H12)</f>
        <v/>
      </c>
      <c r="J20" s="14">
        <f>$B$5*(J12-I12)</f>
        <v/>
      </c>
      <c r="K20" s="14">
        <f>$B$5*(K12-J12)</f>
        <v/>
      </c>
    </row>
    <row r="21">
      <c r="A21" t="inlineStr">
        <is>
          <t>FCFF</t>
        </is>
      </c>
      <c r="B21" s="14">
        <f>B17+B18-B19-B20</f>
        <v/>
      </c>
      <c r="C21" s="14">
        <f>C17+C18-C19-C20</f>
        <v/>
      </c>
      <c r="D21" s="14">
        <f>D17+D18-D19-D20</f>
        <v/>
      </c>
      <c r="E21" s="14">
        <f>E17+E18-E19-E20</f>
        <v/>
      </c>
      <c r="F21" s="14">
        <f>F17+F18-F19-F20</f>
        <v/>
      </c>
      <c r="G21" s="14">
        <f>G17+G18-G19-G20</f>
        <v/>
      </c>
      <c r="H21" s="14">
        <f>H17+H18-H19-H20</f>
        <v/>
      </c>
      <c r="I21" s="14">
        <f>I17+I18-I19-I20</f>
        <v/>
      </c>
      <c r="J21" s="14">
        <f>J17+J18-J19-J20</f>
        <v/>
      </c>
      <c r="K21" s="14">
        <f>K17+K18-K19-K20</f>
        <v/>
      </c>
    </row>
    <row r="22">
      <c r="A22" t="inlineStr">
        <is>
          <t>Years from valuation date (mid-year)</t>
        </is>
      </c>
      <c r="B22" s="19">
        <f>(DATE(B9,10,31)-182-Inputs!$B$5)/365.25</f>
        <v/>
      </c>
      <c r="C22" s="19">
        <f>(DATE(C9,10,31)-182-Inputs!$B$5)/365.25</f>
        <v/>
      </c>
      <c r="D22" s="19">
        <f>(DATE(D9,10,31)-182-Inputs!$B$5)/365.25</f>
        <v/>
      </c>
      <c r="E22" s="19">
        <f>(DATE(E9,10,31)-182-Inputs!$B$5)/365.25</f>
        <v/>
      </c>
      <c r="F22" s="19">
        <f>(DATE(F9,10,31)-182-Inputs!$B$5)/365.25</f>
        <v/>
      </c>
      <c r="G22" s="19">
        <f>(DATE(G9,10,31)-182-Inputs!$B$5)/365.25</f>
        <v/>
      </c>
      <c r="H22" s="19">
        <f>(DATE(H9,10,31)-182-Inputs!$B$5)/365.25</f>
        <v/>
      </c>
      <c r="I22" s="19">
        <f>(DATE(I9,10,31)-182-Inputs!$B$5)/365.25</f>
        <v/>
      </c>
      <c r="J22" s="19">
        <f>(DATE(J9,10,31)-182-Inputs!$B$5)/365.25</f>
        <v/>
      </c>
      <c r="K22" s="19">
        <f>(DATE(K9,10,31)-182-Inputs!$B$5)/365.25</f>
        <v/>
      </c>
    </row>
    <row r="23">
      <c r="A23" t="inlineStr">
        <is>
          <t>Discount factor</t>
        </is>
      </c>
      <c r="B23" s="13">
        <f>1/(1+WACC!$B$13)^B22</f>
        <v/>
      </c>
      <c r="C23" s="13">
        <f>1/(1+WACC!$B$13)^C22</f>
        <v/>
      </c>
      <c r="D23" s="13">
        <f>1/(1+WACC!$B$13)^D22</f>
        <v/>
      </c>
      <c r="E23" s="13">
        <f>1/(1+WACC!$B$13)^E22</f>
        <v/>
      </c>
      <c r="F23" s="13">
        <f>1/(1+WACC!$B$13)^F22</f>
        <v/>
      </c>
      <c r="G23" s="13">
        <f>1/(1+WACC!$B$13)^G22</f>
        <v/>
      </c>
      <c r="H23" s="13">
        <f>1/(1+WACC!$B$13)^H22</f>
        <v/>
      </c>
      <c r="I23" s="13">
        <f>1/(1+WACC!$B$13)^I22</f>
        <v/>
      </c>
      <c r="J23" s="13">
        <f>1/(1+WACC!$B$13)^J22</f>
        <v/>
      </c>
      <c r="K23" s="13">
        <f>1/(1+WACC!$B$13)^K22</f>
        <v/>
      </c>
    </row>
    <row r="24">
      <c r="A24" t="inlineStr">
        <is>
          <t>PV of FCFF</t>
        </is>
      </c>
      <c r="B24" s="14">
        <f>B21*B23</f>
        <v/>
      </c>
      <c r="C24" s="14">
        <f>C21*C23</f>
        <v/>
      </c>
      <c r="D24" s="14">
        <f>D21*D23</f>
        <v/>
      </c>
      <c r="E24" s="14">
        <f>E21*E23</f>
        <v/>
      </c>
      <c r="F24" s="14">
        <f>F21*F23</f>
        <v/>
      </c>
      <c r="G24" s="14">
        <f>G21*G23</f>
        <v/>
      </c>
      <c r="H24" s="14">
        <f>H21*H23</f>
        <v/>
      </c>
      <c r="I24" s="14">
        <f>I21*I23</f>
        <v/>
      </c>
      <c r="J24" s="14">
        <f>J21*J23</f>
        <v/>
      </c>
      <c r="K24" s="14">
        <f>K21*K23</f>
        <v/>
      </c>
    </row>
    <row r="26">
      <c r="A26" t="inlineStr">
        <is>
          <t>PV of Q4 FY26E stub FCFF</t>
        </is>
      </c>
      <c r="B26" s="14">
        <f>Inputs!$B$20/(1+WACC!$B$13)^(30/365.25)</f>
        <v/>
      </c>
    </row>
    <row r="27">
      <c r="A27" t="inlineStr">
        <is>
          <t>PV of explicit FCFF FY27E–FY36E</t>
        </is>
      </c>
      <c r="B27" s="14">
        <f>SUM(B24:K24)</f>
        <v/>
      </c>
    </row>
    <row r="28">
      <c r="A28" t="inlineStr">
        <is>
          <t>Terminal-year NOPAT (FY37E)</t>
        </is>
      </c>
      <c r="B28" s="14">
        <f>K17*(1+B4)</f>
        <v/>
      </c>
    </row>
    <row r="29">
      <c r="A29" t="inlineStr">
        <is>
          <t>Terminal FCFF (after reinvestment at RONIC)</t>
        </is>
      </c>
      <c r="B29" s="14">
        <f>B28*(1-B4/Inputs!$B$24)</f>
        <v/>
      </c>
    </row>
    <row r="30">
      <c r="A30" t="inlineStr">
        <is>
          <t>Terminal value at FY36 end</t>
        </is>
      </c>
      <c r="B30" s="14">
        <f>B29/(WACC!$B$13-B4)</f>
        <v/>
      </c>
    </row>
    <row r="31">
      <c r="A31" t="inlineStr">
        <is>
          <t>PV of terminal value</t>
        </is>
      </c>
      <c r="B31" s="14">
        <f>B30/(1+WACC!$B$13)^((DATE(2036,10,31)-Inputs!$B$5)/365.25)</f>
        <v/>
      </c>
    </row>
    <row r="32">
      <c r="A32" t="inlineStr">
        <is>
          <t>Enterprise value</t>
        </is>
      </c>
      <c r="B32" s="14">
        <f>B26+B27+B31</f>
        <v/>
      </c>
    </row>
    <row r="33">
      <c r="A33" t="inlineStr">
        <is>
          <t>Less: gross debt</t>
        </is>
      </c>
      <c r="B33" s="14">
        <f>-Inputs!$B$8</f>
        <v/>
      </c>
    </row>
    <row r="34">
      <c r="A34" t="inlineStr">
        <is>
          <t>Plus: cash</t>
        </is>
      </c>
      <c r="B34" s="14">
        <f>Inputs!$B$9</f>
        <v/>
      </c>
    </row>
    <row r="35">
      <c r="A35" t="inlineStr">
        <is>
          <t>Less: non-controlling interests</t>
        </is>
      </c>
      <c r="B35" s="14">
        <f>-Inputs!$B$10</f>
        <v/>
      </c>
    </row>
    <row r="36">
      <c r="A36" t="inlineStr">
        <is>
          <t>Equity value</t>
        </is>
      </c>
      <c r="B36" s="14">
        <f>SUM(B32:B35)</f>
        <v/>
      </c>
    </row>
    <row r="37">
      <c r="A37" t="inlineStr">
        <is>
          <t>Fully diluted shares (m)</t>
        </is>
      </c>
      <c r="B37" s="20">
        <f>Inputs!$B$7</f>
        <v/>
      </c>
    </row>
    <row r="38">
      <c r="A38" s="21" t="inlineStr">
        <is>
          <t>Value per share ($)</t>
        </is>
      </c>
      <c r="B38" s="22">
        <f>B36/B37</f>
        <v/>
      </c>
    </row>
    <row r="39">
      <c r="A39" t="inlineStr">
        <is>
          <t>Terminal value share of EV</t>
        </is>
      </c>
      <c r="B39" s="23">
        <f>B31/B32</f>
        <v/>
      </c>
    </row>
    <row r="40">
      <c r="A40" t="inlineStr">
        <is>
          <t>Check: valuation.py value per share</t>
        </is>
      </c>
      <c r="B40" s="19" t="n">
        <v>22.19135858412855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DCF — Base case (live formulas)</t>
        </is>
      </c>
    </row>
    <row r="2">
      <c r="A2" s="2" t="inlineStr">
        <is>
          <t>FY27 in line with the raised framework (+13–17% revenue, 14–15% non-GAAP margin); growth fades to IDC/Gartner-consistent mid-single digits; margin settles at 12.5% as AI mix offsets networking mix.</t>
        </is>
      </c>
    </row>
    <row r="4">
      <c r="A4" t="inlineStr">
        <is>
          <t>Terminal growth</t>
        </is>
      </c>
      <c r="B4" s="9" t="n">
        <v>0.0275</v>
      </c>
    </row>
    <row r="5">
      <c r="A5" t="inlineStr">
        <is>
          <t>NWC investment (% of Δrevenue)</t>
        </is>
      </c>
      <c r="B5" s="9" t="n">
        <v>0.06</v>
      </c>
    </row>
    <row r="6">
      <c r="A6" t="inlineStr">
        <is>
          <t>Scenario probability</t>
        </is>
      </c>
      <c r="B6" s="9" t="n">
        <v>0.5</v>
      </c>
    </row>
    <row r="8">
      <c r="A8" s="3" t="inlineStr">
        <is>
          <t>$ millions</t>
        </is>
      </c>
      <c r="B8" s="4" t="inlineStr">
        <is>
          <t>FY2027E</t>
        </is>
      </c>
      <c r="C8" s="4" t="inlineStr">
        <is>
          <t>FY2028E</t>
        </is>
      </c>
      <c r="D8" s="4" t="inlineStr">
        <is>
          <t>FY2029E</t>
        </is>
      </c>
      <c r="E8" s="4" t="inlineStr">
        <is>
          <t>FY2030E</t>
        </is>
      </c>
      <c r="F8" s="4" t="inlineStr">
        <is>
          <t>FY2031E</t>
        </is>
      </c>
      <c r="G8" s="4" t="inlineStr">
        <is>
          <t>FY2032E</t>
        </is>
      </c>
      <c r="H8" s="4" t="inlineStr">
        <is>
          <t>FY2033E</t>
        </is>
      </c>
      <c r="I8" s="4" t="inlineStr">
        <is>
          <t>FY2034E</t>
        </is>
      </c>
      <c r="J8" s="4" t="inlineStr">
        <is>
          <t>FY2035E</t>
        </is>
      </c>
      <c r="K8" s="4" t="inlineStr">
        <is>
          <t>FY2036E</t>
        </is>
      </c>
    </row>
    <row r="9">
      <c r="A9" t="inlineStr">
        <is>
          <t>Fiscal year end</t>
        </is>
      </c>
      <c r="B9" t="n">
        <v>2027</v>
      </c>
      <c r="C9" t="n">
        <v>2028</v>
      </c>
      <c r="D9" t="n">
        <v>2029</v>
      </c>
      <c r="E9" t="n">
        <v>2030</v>
      </c>
      <c r="F9" t="n">
        <v>2031</v>
      </c>
      <c r="G9" t="n">
        <v>2032</v>
      </c>
      <c r="H9" t="n">
        <v>2033</v>
      </c>
      <c r="I9" t="n">
        <v>2034</v>
      </c>
      <c r="J9" t="n">
        <v>2035</v>
      </c>
      <c r="K9" t="n">
        <v>2036</v>
      </c>
    </row>
    <row r="10">
      <c r="A10" t="inlineStr">
        <is>
          <t>Revenue growth</t>
        </is>
      </c>
      <c r="B10" s="18" t="n">
        <v>0.15</v>
      </c>
      <c r="C10" s="18" t="n">
        <v>0.06</v>
      </c>
      <c r="D10" s="18" t="n">
        <v>0.05</v>
      </c>
      <c r="E10" s="18" t="n">
        <v>0.045</v>
      </c>
      <c r="F10" s="18" t="n">
        <v>0.04</v>
      </c>
      <c r="G10" s="18" t="n">
        <v>0.0375</v>
      </c>
      <c r="H10" s="18" t="n">
        <v>0.035</v>
      </c>
      <c r="I10" s="18" t="n">
        <v>0.0325</v>
      </c>
      <c r="J10" s="18" t="n">
        <v>0.03</v>
      </c>
      <c r="K10" s="18" t="n">
        <v>0.0275</v>
      </c>
    </row>
    <row r="11">
      <c r="A11" t="inlineStr">
        <is>
          <t>Non-GAAP operating margin</t>
        </is>
      </c>
      <c r="B11" s="18" t="n">
        <v>0.145</v>
      </c>
      <c r="C11" s="18" t="n">
        <v>0.135</v>
      </c>
      <c r="D11" s="18" t="n">
        <v>0.13</v>
      </c>
      <c r="E11" s="18" t="n">
        <v>0.125</v>
      </c>
      <c r="F11" s="18" t="n">
        <v>0.125</v>
      </c>
      <c r="G11" s="18" t="n">
        <v>0.125</v>
      </c>
      <c r="H11" s="18" t="n">
        <v>0.125</v>
      </c>
      <c r="I11" s="18" t="n">
        <v>0.125</v>
      </c>
      <c r="J11" s="18" t="n">
        <v>0.125</v>
      </c>
      <c r="K11" s="18" t="n">
        <v>0.125</v>
      </c>
    </row>
    <row r="12">
      <c r="A12" t="inlineStr">
        <is>
          <t>Revenue</t>
        </is>
      </c>
      <c r="B12" s="14">
        <f>Inputs!$B$19*(1+B10)</f>
        <v/>
      </c>
      <c r="C12" s="14">
        <f>B12*(1+C10)</f>
        <v/>
      </c>
      <c r="D12" s="14">
        <f>C12*(1+D10)</f>
        <v/>
      </c>
      <c r="E12" s="14">
        <f>D12*(1+E10)</f>
        <v/>
      </c>
      <c r="F12" s="14">
        <f>E12*(1+F10)</f>
        <v/>
      </c>
      <c r="G12" s="14">
        <f>F12*(1+G10)</f>
        <v/>
      </c>
      <c r="H12" s="14">
        <f>G12*(1+H10)</f>
        <v/>
      </c>
      <c r="I12" s="14">
        <f>H12*(1+I10)</f>
        <v/>
      </c>
      <c r="J12" s="14">
        <f>I12*(1+J10)</f>
        <v/>
      </c>
      <c r="K12" s="14">
        <f>J12*(1+K10)</f>
        <v/>
      </c>
    </row>
    <row r="13">
      <c r="A13" t="inlineStr">
        <is>
          <t>SBC</t>
        </is>
      </c>
      <c r="B13" s="14">
        <f>B12*Inputs!$B$21</f>
        <v/>
      </c>
      <c r="C13" s="14">
        <f>C12*Inputs!$B$21</f>
        <v/>
      </c>
      <c r="D13" s="14">
        <f>D12*Inputs!$B$21</f>
        <v/>
      </c>
      <c r="E13" s="14">
        <f>E12*Inputs!$B$21</f>
        <v/>
      </c>
      <c r="F13" s="14">
        <f>F12*Inputs!$B$21</f>
        <v/>
      </c>
      <c r="G13" s="14">
        <f>G12*Inputs!$B$21</f>
        <v/>
      </c>
      <c r="H13" s="14">
        <f>H12*Inputs!$B$21</f>
        <v/>
      </c>
      <c r="I13" s="14">
        <f>I12*Inputs!$B$21</f>
        <v/>
      </c>
      <c r="J13" s="14">
        <f>J12*Inputs!$B$21</f>
        <v/>
      </c>
      <c r="K13" s="14">
        <f>K12*Inputs!$B$21</f>
        <v/>
      </c>
    </row>
    <row r="14">
      <c r="A14" t="inlineStr">
        <is>
          <t>Restructuring cash costs</t>
        </is>
      </c>
      <c r="B14" s="8" t="n">
        <v>300</v>
      </c>
      <c r="C14" s="8" t="n">
        <v>150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t="inlineStr">
        <is>
          <t>EBIT (after SBC)</t>
        </is>
      </c>
      <c r="B15" s="14">
        <f>B12*(B11-Inputs!$B$21)-B14</f>
        <v/>
      </c>
      <c r="C15" s="14">
        <f>C12*(C11-Inputs!$B$21)-C14</f>
        <v/>
      </c>
      <c r="D15" s="14">
        <f>D12*(D11-Inputs!$B$21)-D14</f>
        <v/>
      </c>
      <c r="E15" s="14">
        <f>E12*(E11-Inputs!$B$21)-E14</f>
        <v/>
      </c>
      <c r="F15" s="14">
        <f>F12*(F11-Inputs!$B$21)-F14</f>
        <v/>
      </c>
      <c r="G15" s="14">
        <f>G12*(G11-Inputs!$B$21)-G14</f>
        <v/>
      </c>
      <c r="H15" s="14">
        <f>H12*(H11-Inputs!$B$21)-H14</f>
        <v/>
      </c>
      <c r="I15" s="14">
        <f>I12*(I11-Inputs!$B$21)-I14</f>
        <v/>
      </c>
      <c r="J15" s="14">
        <f>J12*(J11-Inputs!$B$21)-J14</f>
        <v/>
      </c>
      <c r="K15" s="14">
        <f>K12*(K11-Inputs!$B$21)-K14</f>
        <v/>
      </c>
    </row>
    <row r="16">
      <c r="A16" t="inlineStr">
        <is>
          <t>Operating taxes</t>
        </is>
      </c>
      <c r="B16" s="14">
        <f>B15*Inputs!$B$18</f>
        <v/>
      </c>
      <c r="C16" s="14">
        <f>C15*Inputs!$B$18</f>
        <v/>
      </c>
      <c r="D16" s="14">
        <f>D15*Inputs!$B$18</f>
        <v/>
      </c>
      <c r="E16" s="14">
        <f>E15*Inputs!$B$18</f>
        <v/>
      </c>
      <c r="F16" s="14">
        <f>F15*Inputs!$B$18</f>
        <v/>
      </c>
      <c r="G16" s="14">
        <f>G15*Inputs!$B$18</f>
        <v/>
      </c>
      <c r="H16" s="14">
        <f>H15*Inputs!$B$18</f>
        <v/>
      </c>
      <c r="I16" s="14">
        <f>I15*Inputs!$B$18</f>
        <v/>
      </c>
      <c r="J16" s="14">
        <f>J15*Inputs!$B$18</f>
        <v/>
      </c>
      <c r="K16" s="14">
        <f>K15*Inputs!$B$18</f>
        <v/>
      </c>
    </row>
    <row r="17">
      <c r="A17" t="inlineStr">
        <is>
          <t>NOPAT</t>
        </is>
      </c>
      <c r="B17" s="14">
        <f>B15-B16</f>
        <v/>
      </c>
      <c r="C17" s="14">
        <f>C15-C16</f>
        <v/>
      </c>
      <c r="D17" s="14">
        <f>D15-D16</f>
        <v/>
      </c>
      <c r="E17" s="14">
        <f>E15-E16</f>
        <v/>
      </c>
      <c r="F17" s="14">
        <f>F15-F16</f>
        <v/>
      </c>
      <c r="G17" s="14">
        <f>G15-G16</f>
        <v/>
      </c>
      <c r="H17" s="14">
        <f>H15-H16</f>
        <v/>
      </c>
      <c r="I17" s="14">
        <f>I15-I16</f>
        <v/>
      </c>
      <c r="J17" s="14">
        <f>J15-J16</f>
        <v/>
      </c>
      <c r="K17" s="14">
        <f>K15-K16</f>
        <v/>
      </c>
    </row>
    <row r="18">
      <c r="A18" t="inlineStr">
        <is>
          <t>Depreciation</t>
        </is>
      </c>
      <c r="B18" s="14">
        <f>B12*Inputs!$B$22</f>
        <v/>
      </c>
      <c r="C18" s="14">
        <f>C12*Inputs!$B$22</f>
        <v/>
      </c>
      <c r="D18" s="14">
        <f>D12*Inputs!$B$22</f>
        <v/>
      </c>
      <c r="E18" s="14">
        <f>E12*Inputs!$B$22</f>
        <v/>
      </c>
      <c r="F18" s="14">
        <f>F12*Inputs!$B$22</f>
        <v/>
      </c>
      <c r="G18" s="14">
        <f>G12*Inputs!$B$22</f>
        <v/>
      </c>
      <c r="H18" s="14">
        <f>H12*Inputs!$B$22</f>
        <v/>
      </c>
      <c r="I18" s="14">
        <f>I12*Inputs!$B$22</f>
        <v/>
      </c>
      <c r="J18" s="14">
        <f>J12*Inputs!$B$22</f>
        <v/>
      </c>
      <c r="K18" s="14">
        <f>K12*Inputs!$B$22</f>
        <v/>
      </c>
    </row>
    <row r="19">
      <c r="A19" t="inlineStr">
        <is>
          <t>Net capex</t>
        </is>
      </c>
      <c r="B19" s="14">
        <f>B12*(Inputs!$B$22+Inputs!$B$23)</f>
        <v/>
      </c>
      <c r="C19" s="14">
        <f>C12*(Inputs!$B$22+Inputs!$B$23)</f>
        <v/>
      </c>
      <c r="D19" s="14">
        <f>D12*(Inputs!$B$22+Inputs!$B$23)</f>
        <v/>
      </c>
      <c r="E19" s="14">
        <f>E12*(Inputs!$B$22+Inputs!$B$23)</f>
        <v/>
      </c>
      <c r="F19" s="14">
        <f>F12*(Inputs!$B$22+Inputs!$B$23)</f>
        <v/>
      </c>
      <c r="G19" s="14">
        <f>G12*(Inputs!$B$22+Inputs!$B$23)</f>
        <v/>
      </c>
      <c r="H19" s="14">
        <f>H12*(Inputs!$B$22+Inputs!$B$23)</f>
        <v/>
      </c>
      <c r="I19" s="14">
        <f>I12*(Inputs!$B$22+Inputs!$B$23)</f>
        <v/>
      </c>
      <c r="J19" s="14">
        <f>J12*(Inputs!$B$22+Inputs!$B$23)</f>
        <v/>
      </c>
      <c r="K19" s="14">
        <f>K12*(Inputs!$B$22+Inputs!$B$23)</f>
        <v/>
      </c>
    </row>
    <row r="20">
      <c r="A20" t="inlineStr">
        <is>
          <t>Δ Net working capital</t>
        </is>
      </c>
      <c r="B20" s="14">
        <f>$B$5*(B12-Inputs!$B$19)</f>
        <v/>
      </c>
      <c r="C20" s="14">
        <f>$B$5*(C12-B12)</f>
        <v/>
      </c>
      <c r="D20" s="14">
        <f>$B$5*(D12-C12)</f>
        <v/>
      </c>
      <c r="E20" s="14">
        <f>$B$5*(E12-D12)</f>
        <v/>
      </c>
      <c r="F20" s="14">
        <f>$B$5*(F12-E12)</f>
        <v/>
      </c>
      <c r="G20" s="14">
        <f>$B$5*(G12-F12)</f>
        <v/>
      </c>
      <c r="H20" s="14">
        <f>$B$5*(H12-G12)</f>
        <v/>
      </c>
      <c r="I20" s="14">
        <f>$B$5*(I12-H12)</f>
        <v/>
      </c>
      <c r="J20" s="14">
        <f>$B$5*(J12-I12)</f>
        <v/>
      </c>
      <c r="K20" s="14">
        <f>$B$5*(K12-J12)</f>
        <v/>
      </c>
    </row>
    <row r="21">
      <c r="A21" t="inlineStr">
        <is>
          <t>FCFF</t>
        </is>
      </c>
      <c r="B21" s="14">
        <f>B17+B18-B19-B20</f>
        <v/>
      </c>
      <c r="C21" s="14">
        <f>C17+C18-C19-C20</f>
        <v/>
      </c>
      <c r="D21" s="14">
        <f>D17+D18-D19-D20</f>
        <v/>
      </c>
      <c r="E21" s="14">
        <f>E17+E18-E19-E20</f>
        <v/>
      </c>
      <c r="F21" s="14">
        <f>F17+F18-F19-F20</f>
        <v/>
      </c>
      <c r="G21" s="14">
        <f>G17+G18-G19-G20</f>
        <v/>
      </c>
      <c r="H21" s="14">
        <f>H17+H18-H19-H20</f>
        <v/>
      </c>
      <c r="I21" s="14">
        <f>I17+I18-I19-I20</f>
        <v/>
      </c>
      <c r="J21" s="14">
        <f>J17+J18-J19-J20</f>
        <v/>
      </c>
      <c r="K21" s="14">
        <f>K17+K18-K19-K20</f>
        <v/>
      </c>
    </row>
    <row r="22">
      <c r="A22" t="inlineStr">
        <is>
          <t>Years from valuation date (mid-year)</t>
        </is>
      </c>
      <c r="B22" s="19">
        <f>(DATE(B9,10,31)-182-Inputs!$B$5)/365.25</f>
        <v/>
      </c>
      <c r="C22" s="19">
        <f>(DATE(C9,10,31)-182-Inputs!$B$5)/365.25</f>
        <v/>
      </c>
      <c r="D22" s="19">
        <f>(DATE(D9,10,31)-182-Inputs!$B$5)/365.25</f>
        <v/>
      </c>
      <c r="E22" s="19">
        <f>(DATE(E9,10,31)-182-Inputs!$B$5)/365.25</f>
        <v/>
      </c>
      <c r="F22" s="19">
        <f>(DATE(F9,10,31)-182-Inputs!$B$5)/365.25</f>
        <v/>
      </c>
      <c r="G22" s="19">
        <f>(DATE(G9,10,31)-182-Inputs!$B$5)/365.25</f>
        <v/>
      </c>
      <c r="H22" s="19">
        <f>(DATE(H9,10,31)-182-Inputs!$B$5)/365.25</f>
        <v/>
      </c>
      <c r="I22" s="19">
        <f>(DATE(I9,10,31)-182-Inputs!$B$5)/365.25</f>
        <v/>
      </c>
      <c r="J22" s="19">
        <f>(DATE(J9,10,31)-182-Inputs!$B$5)/365.25</f>
        <v/>
      </c>
      <c r="K22" s="19">
        <f>(DATE(K9,10,31)-182-Inputs!$B$5)/365.25</f>
        <v/>
      </c>
    </row>
    <row r="23">
      <c r="A23" t="inlineStr">
        <is>
          <t>Discount factor</t>
        </is>
      </c>
      <c r="B23" s="13">
        <f>1/(1+WACC!$B$13)^B22</f>
        <v/>
      </c>
      <c r="C23" s="13">
        <f>1/(1+WACC!$B$13)^C22</f>
        <v/>
      </c>
      <c r="D23" s="13">
        <f>1/(1+WACC!$B$13)^D22</f>
        <v/>
      </c>
      <c r="E23" s="13">
        <f>1/(1+WACC!$B$13)^E22</f>
        <v/>
      </c>
      <c r="F23" s="13">
        <f>1/(1+WACC!$B$13)^F22</f>
        <v/>
      </c>
      <c r="G23" s="13">
        <f>1/(1+WACC!$B$13)^G22</f>
        <v/>
      </c>
      <c r="H23" s="13">
        <f>1/(1+WACC!$B$13)^H22</f>
        <v/>
      </c>
      <c r="I23" s="13">
        <f>1/(1+WACC!$B$13)^I22</f>
        <v/>
      </c>
      <c r="J23" s="13">
        <f>1/(1+WACC!$B$13)^J22</f>
        <v/>
      </c>
      <c r="K23" s="13">
        <f>1/(1+WACC!$B$13)^K22</f>
        <v/>
      </c>
    </row>
    <row r="24">
      <c r="A24" t="inlineStr">
        <is>
          <t>PV of FCFF</t>
        </is>
      </c>
      <c r="B24" s="14">
        <f>B21*B23</f>
        <v/>
      </c>
      <c r="C24" s="14">
        <f>C21*C23</f>
        <v/>
      </c>
      <c r="D24" s="14">
        <f>D21*D23</f>
        <v/>
      </c>
      <c r="E24" s="14">
        <f>E21*E23</f>
        <v/>
      </c>
      <c r="F24" s="14">
        <f>F21*F23</f>
        <v/>
      </c>
      <c r="G24" s="14">
        <f>G21*G23</f>
        <v/>
      </c>
      <c r="H24" s="14">
        <f>H21*H23</f>
        <v/>
      </c>
      <c r="I24" s="14">
        <f>I21*I23</f>
        <v/>
      </c>
      <c r="J24" s="14">
        <f>J21*J23</f>
        <v/>
      </c>
      <c r="K24" s="14">
        <f>K21*K23</f>
        <v/>
      </c>
    </row>
    <row r="26">
      <c r="A26" t="inlineStr">
        <is>
          <t>PV of Q4 FY26E stub FCFF</t>
        </is>
      </c>
      <c r="B26" s="14">
        <f>Inputs!$B$20/(1+WACC!$B$13)^(30/365.25)</f>
        <v/>
      </c>
    </row>
    <row r="27">
      <c r="A27" t="inlineStr">
        <is>
          <t>PV of explicit FCFF FY27E–FY36E</t>
        </is>
      </c>
      <c r="B27" s="14">
        <f>SUM(B24:K24)</f>
        <v/>
      </c>
    </row>
    <row r="28">
      <c r="A28" t="inlineStr">
        <is>
          <t>Terminal-year NOPAT (FY37E)</t>
        </is>
      </c>
      <c r="B28" s="14">
        <f>K17*(1+B4)</f>
        <v/>
      </c>
    </row>
    <row r="29">
      <c r="A29" t="inlineStr">
        <is>
          <t>Terminal FCFF (after reinvestment at RONIC)</t>
        </is>
      </c>
      <c r="B29" s="14">
        <f>B28*(1-B4/Inputs!$B$24)</f>
        <v/>
      </c>
    </row>
    <row r="30">
      <c r="A30" t="inlineStr">
        <is>
          <t>Terminal value at FY36 end</t>
        </is>
      </c>
      <c r="B30" s="14">
        <f>B29/(WACC!$B$13-B4)</f>
        <v/>
      </c>
    </row>
    <row r="31">
      <c r="A31" t="inlineStr">
        <is>
          <t>PV of terminal value</t>
        </is>
      </c>
      <c r="B31" s="14">
        <f>B30/(1+WACC!$B$13)^((DATE(2036,10,31)-Inputs!$B$5)/365.25)</f>
        <v/>
      </c>
    </row>
    <row r="32">
      <c r="A32" t="inlineStr">
        <is>
          <t>Enterprise value</t>
        </is>
      </c>
      <c r="B32" s="14">
        <f>B26+B27+B31</f>
        <v/>
      </c>
    </row>
    <row r="33">
      <c r="A33" t="inlineStr">
        <is>
          <t>Less: gross debt</t>
        </is>
      </c>
      <c r="B33" s="14">
        <f>-Inputs!$B$8</f>
        <v/>
      </c>
    </row>
    <row r="34">
      <c r="A34" t="inlineStr">
        <is>
          <t>Plus: cash</t>
        </is>
      </c>
      <c r="B34" s="14">
        <f>Inputs!$B$9</f>
        <v/>
      </c>
    </row>
    <row r="35">
      <c r="A35" t="inlineStr">
        <is>
          <t>Less: non-controlling interests</t>
        </is>
      </c>
      <c r="B35" s="14">
        <f>-Inputs!$B$10</f>
        <v/>
      </c>
    </row>
    <row r="36">
      <c r="A36" t="inlineStr">
        <is>
          <t>Equity value</t>
        </is>
      </c>
      <c r="B36" s="14">
        <f>SUM(B32:B35)</f>
        <v/>
      </c>
    </row>
    <row r="37">
      <c r="A37" t="inlineStr">
        <is>
          <t>Fully diluted shares (m)</t>
        </is>
      </c>
      <c r="B37" s="20">
        <f>Inputs!$B$7</f>
        <v/>
      </c>
    </row>
    <row r="38">
      <c r="A38" s="21" t="inlineStr">
        <is>
          <t>Value per share ($)</t>
        </is>
      </c>
      <c r="B38" s="22">
        <f>B36/B37</f>
        <v/>
      </c>
    </row>
    <row r="39">
      <c r="A39" t="inlineStr">
        <is>
          <t>Terminal value share of EV</t>
        </is>
      </c>
      <c r="B39" s="23">
        <f>B31/B32</f>
        <v/>
      </c>
    </row>
    <row r="40">
      <c r="A40" t="inlineStr">
        <is>
          <t>Check: valuation.py value per share</t>
        </is>
      </c>
      <c r="B40" s="19" t="n">
        <v>38.79674063204632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DCF — Bull case (live formulas)</t>
        </is>
      </c>
    </row>
    <row r="2">
      <c r="A2" s="2" t="inlineStr">
        <is>
          <t>Networking (Oracle, Helios scale-up switches) lifts mix toward 30%+ of revenue at mid/high-20s margins; enterprise AI inference sustains server demand; margins hold near FY27 levels.</t>
        </is>
      </c>
    </row>
    <row r="4">
      <c r="A4" t="inlineStr">
        <is>
          <t>Terminal growth</t>
        </is>
      </c>
      <c r="B4" s="9" t="n">
        <v>0.0325</v>
      </c>
    </row>
    <row r="5">
      <c r="A5" t="inlineStr">
        <is>
          <t>NWC investment (% of Δrevenue)</t>
        </is>
      </c>
      <c r="B5" s="9" t="n">
        <v>0.05</v>
      </c>
    </row>
    <row r="6">
      <c r="A6" t="inlineStr">
        <is>
          <t>Scenario probability</t>
        </is>
      </c>
      <c r="B6" s="9" t="n">
        <v>0.25</v>
      </c>
    </row>
    <row r="8">
      <c r="A8" s="3" t="inlineStr">
        <is>
          <t>$ millions</t>
        </is>
      </c>
      <c r="B8" s="4" t="inlineStr">
        <is>
          <t>FY2027E</t>
        </is>
      </c>
      <c r="C8" s="4" t="inlineStr">
        <is>
          <t>FY2028E</t>
        </is>
      </c>
      <c r="D8" s="4" t="inlineStr">
        <is>
          <t>FY2029E</t>
        </is>
      </c>
      <c r="E8" s="4" t="inlineStr">
        <is>
          <t>FY2030E</t>
        </is>
      </c>
      <c r="F8" s="4" t="inlineStr">
        <is>
          <t>FY2031E</t>
        </is>
      </c>
      <c r="G8" s="4" t="inlineStr">
        <is>
          <t>FY2032E</t>
        </is>
      </c>
      <c r="H8" s="4" t="inlineStr">
        <is>
          <t>FY2033E</t>
        </is>
      </c>
      <c r="I8" s="4" t="inlineStr">
        <is>
          <t>FY2034E</t>
        </is>
      </c>
      <c r="J8" s="4" t="inlineStr">
        <is>
          <t>FY2035E</t>
        </is>
      </c>
      <c r="K8" s="4" t="inlineStr">
        <is>
          <t>FY2036E</t>
        </is>
      </c>
    </row>
    <row r="9">
      <c r="A9" t="inlineStr">
        <is>
          <t>Fiscal year end</t>
        </is>
      </c>
      <c r="B9" t="n">
        <v>2027</v>
      </c>
      <c r="C9" t="n">
        <v>2028</v>
      </c>
      <c r="D9" t="n">
        <v>2029</v>
      </c>
      <c r="E9" t="n">
        <v>2030</v>
      </c>
      <c r="F9" t="n">
        <v>2031</v>
      </c>
      <c r="G9" t="n">
        <v>2032</v>
      </c>
      <c r="H9" t="n">
        <v>2033</v>
      </c>
      <c r="I9" t="n">
        <v>2034</v>
      </c>
      <c r="J9" t="n">
        <v>2035</v>
      </c>
      <c r="K9" t="n">
        <v>2036</v>
      </c>
    </row>
    <row r="10">
      <c r="A10" t="inlineStr">
        <is>
          <t>Revenue growth</t>
        </is>
      </c>
      <c r="B10" s="18" t="n">
        <v>0.17</v>
      </c>
      <c r="C10" s="18" t="n">
        <v>0.09</v>
      </c>
      <c r="D10" s="18" t="n">
        <v>0.07000000000000001</v>
      </c>
      <c r="E10" s="18" t="n">
        <v>0.06</v>
      </c>
      <c r="F10" s="18" t="n">
        <v>0.05</v>
      </c>
      <c r="G10" s="18" t="n">
        <v>0.045</v>
      </c>
      <c r="H10" s="18" t="n">
        <v>0.04</v>
      </c>
      <c r="I10" s="18" t="n">
        <v>0.04</v>
      </c>
      <c r="J10" s="18" t="n">
        <v>0.035</v>
      </c>
      <c r="K10" s="18" t="n">
        <v>0.035</v>
      </c>
    </row>
    <row r="11">
      <c r="A11" t="inlineStr">
        <is>
          <t>Non-GAAP operating margin</t>
        </is>
      </c>
      <c r="B11" s="18" t="n">
        <v>0.15</v>
      </c>
      <c r="C11" s="18" t="n">
        <v>0.15</v>
      </c>
      <c r="D11" s="18" t="n">
        <v>0.148</v>
      </c>
      <c r="E11" s="18" t="n">
        <v>0.145</v>
      </c>
      <c r="F11" s="18" t="n">
        <v>0.145</v>
      </c>
      <c r="G11" s="18" t="n">
        <v>0.145</v>
      </c>
      <c r="H11" s="18" t="n">
        <v>0.145</v>
      </c>
      <c r="I11" s="18" t="n">
        <v>0.145</v>
      </c>
      <c r="J11" s="18" t="n">
        <v>0.145</v>
      </c>
      <c r="K11" s="18" t="n">
        <v>0.145</v>
      </c>
    </row>
    <row r="12">
      <c r="A12" t="inlineStr">
        <is>
          <t>Revenue</t>
        </is>
      </c>
      <c r="B12" s="14">
        <f>Inputs!$B$19*(1+B10)</f>
        <v/>
      </c>
      <c r="C12" s="14">
        <f>B12*(1+C10)</f>
        <v/>
      </c>
      <c r="D12" s="14">
        <f>C12*(1+D10)</f>
        <v/>
      </c>
      <c r="E12" s="14">
        <f>D12*(1+E10)</f>
        <v/>
      </c>
      <c r="F12" s="14">
        <f>E12*(1+F10)</f>
        <v/>
      </c>
      <c r="G12" s="14">
        <f>F12*(1+G10)</f>
        <v/>
      </c>
      <c r="H12" s="14">
        <f>G12*(1+H10)</f>
        <v/>
      </c>
      <c r="I12" s="14">
        <f>H12*(1+I10)</f>
        <v/>
      </c>
      <c r="J12" s="14">
        <f>I12*(1+J10)</f>
        <v/>
      </c>
      <c r="K12" s="14">
        <f>J12*(1+K10)</f>
        <v/>
      </c>
    </row>
    <row r="13">
      <c r="A13" t="inlineStr">
        <is>
          <t>SBC</t>
        </is>
      </c>
      <c r="B13" s="14">
        <f>B12*Inputs!$B$21</f>
        <v/>
      </c>
      <c r="C13" s="14">
        <f>C12*Inputs!$B$21</f>
        <v/>
      </c>
      <c r="D13" s="14">
        <f>D12*Inputs!$B$21</f>
        <v/>
      </c>
      <c r="E13" s="14">
        <f>E12*Inputs!$B$21</f>
        <v/>
      </c>
      <c r="F13" s="14">
        <f>F12*Inputs!$B$21</f>
        <v/>
      </c>
      <c r="G13" s="14">
        <f>G12*Inputs!$B$21</f>
        <v/>
      </c>
      <c r="H13" s="14">
        <f>H12*Inputs!$B$21</f>
        <v/>
      </c>
      <c r="I13" s="14">
        <f>I12*Inputs!$B$21</f>
        <v/>
      </c>
      <c r="J13" s="14">
        <f>J12*Inputs!$B$21</f>
        <v/>
      </c>
      <c r="K13" s="14">
        <f>K12*Inputs!$B$21</f>
        <v/>
      </c>
    </row>
    <row r="14">
      <c r="A14" t="inlineStr">
        <is>
          <t>Restructuring cash costs</t>
        </is>
      </c>
      <c r="B14" s="8" t="n">
        <v>300</v>
      </c>
      <c r="C14" s="8" t="n">
        <v>150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t="inlineStr">
        <is>
          <t>EBIT (after SBC)</t>
        </is>
      </c>
      <c r="B15" s="14">
        <f>B12*(B11-Inputs!$B$21)-B14</f>
        <v/>
      </c>
      <c r="C15" s="14">
        <f>C12*(C11-Inputs!$B$21)-C14</f>
        <v/>
      </c>
      <c r="D15" s="14">
        <f>D12*(D11-Inputs!$B$21)-D14</f>
        <v/>
      </c>
      <c r="E15" s="14">
        <f>E12*(E11-Inputs!$B$21)-E14</f>
        <v/>
      </c>
      <c r="F15" s="14">
        <f>F12*(F11-Inputs!$B$21)-F14</f>
        <v/>
      </c>
      <c r="G15" s="14">
        <f>G12*(G11-Inputs!$B$21)-G14</f>
        <v/>
      </c>
      <c r="H15" s="14">
        <f>H12*(H11-Inputs!$B$21)-H14</f>
        <v/>
      </c>
      <c r="I15" s="14">
        <f>I12*(I11-Inputs!$B$21)-I14</f>
        <v/>
      </c>
      <c r="J15" s="14">
        <f>J12*(J11-Inputs!$B$21)-J14</f>
        <v/>
      </c>
      <c r="K15" s="14">
        <f>K12*(K11-Inputs!$B$21)-K14</f>
        <v/>
      </c>
    </row>
    <row r="16">
      <c r="A16" t="inlineStr">
        <is>
          <t>Operating taxes</t>
        </is>
      </c>
      <c r="B16" s="14">
        <f>B15*Inputs!$B$18</f>
        <v/>
      </c>
      <c r="C16" s="14">
        <f>C15*Inputs!$B$18</f>
        <v/>
      </c>
      <c r="D16" s="14">
        <f>D15*Inputs!$B$18</f>
        <v/>
      </c>
      <c r="E16" s="14">
        <f>E15*Inputs!$B$18</f>
        <v/>
      </c>
      <c r="F16" s="14">
        <f>F15*Inputs!$B$18</f>
        <v/>
      </c>
      <c r="G16" s="14">
        <f>G15*Inputs!$B$18</f>
        <v/>
      </c>
      <c r="H16" s="14">
        <f>H15*Inputs!$B$18</f>
        <v/>
      </c>
      <c r="I16" s="14">
        <f>I15*Inputs!$B$18</f>
        <v/>
      </c>
      <c r="J16" s="14">
        <f>J15*Inputs!$B$18</f>
        <v/>
      </c>
      <c r="K16" s="14">
        <f>K15*Inputs!$B$18</f>
        <v/>
      </c>
    </row>
    <row r="17">
      <c r="A17" t="inlineStr">
        <is>
          <t>NOPAT</t>
        </is>
      </c>
      <c r="B17" s="14">
        <f>B15-B16</f>
        <v/>
      </c>
      <c r="C17" s="14">
        <f>C15-C16</f>
        <v/>
      </c>
      <c r="D17" s="14">
        <f>D15-D16</f>
        <v/>
      </c>
      <c r="E17" s="14">
        <f>E15-E16</f>
        <v/>
      </c>
      <c r="F17" s="14">
        <f>F15-F16</f>
        <v/>
      </c>
      <c r="G17" s="14">
        <f>G15-G16</f>
        <v/>
      </c>
      <c r="H17" s="14">
        <f>H15-H16</f>
        <v/>
      </c>
      <c r="I17" s="14">
        <f>I15-I16</f>
        <v/>
      </c>
      <c r="J17" s="14">
        <f>J15-J16</f>
        <v/>
      </c>
      <c r="K17" s="14">
        <f>K15-K16</f>
        <v/>
      </c>
    </row>
    <row r="18">
      <c r="A18" t="inlineStr">
        <is>
          <t>Depreciation</t>
        </is>
      </c>
      <c r="B18" s="14">
        <f>B12*Inputs!$B$22</f>
        <v/>
      </c>
      <c r="C18" s="14">
        <f>C12*Inputs!$B$22</f>
        <v/>
      </c>
      <c r="D18" s="14">
        <f>D12*Inputs!$B$22</f>
        <v/>
      </c>
      <c r="E18" s="14">
        <f>E12*Inputs!$B$22</f>
        <v/>
      </c>
      <c r="F18" s="14">
        <f>F12*Inputs!$B$22</f>
        <v/>
      </c>
      <c r="G18" s="14">
        <f>G12*Inputs!$B$22</f>
        <v/>
      </c>
      <c r="H18" s="14">
        <f>H12*Inputs!$B$22</f>
        <v/>
      </c>
      <c r="I18" s="14">
        <f>I12*Inputs!$B$22</f>
        <v/>
      </c>
      <c r="J18" s="14">
        <f>J12*Inputs!$B$22</f>
        <v/>
      </c>
      <c r="K18" s="14">
        <f>K12*Inputs!$B$22</f>
        <v/>
      </c>
    </row>
    <row r="19">
      <c r="A19" t="inlineStr">
        <is>
          <t>Net capex</t>
        </is>
      </c>
      <c r="B19" s="14">
        <f>B12*(Inputs!$B$22+Inputs!$B$23)</f>
        <v/>
      </c>
      <c r="C19" s="14">
        <f>C12*(Inputs!$B$22+Inputs!$B$23)</f>
        <v/>
      </c>
      <c r="D19" s="14">
        <f>D12*(Inputs!$B$22+Inputs!$B$23)</f>
        <v/>
      </c>
      <c r="E19" s="14">
        <f>E12*(Inputs!$B$22+Inputs!$B$23)</f>
        <v/>
      </c>
      <c r="F19" s="14">
        <f>F12*(Inputs!$B$22+Inputs!$B$23)</f>
        <v/>
      </c>
      <c r="G19" s="14">
        <f>G12*(Inputs!$B$22+Inputs!$B$23)</f>
        <v/>
      </c>
      <c r="H19" s="14">
        <f>H12*(Inputs!$B$22+Inputs!$B$23)</f>
        <v/>
      </c>
      <c r="I19" s="14">
        <f>I12*(Inputs!$B$22+Inputs!$B$23)</f>
        <v/>
      </c>
      <c r="J19" s="14">
        <f>J12*(Inputs!$B$22+Inputs!$B$23)</f>
        <v/>
      </c>
      <c r="K19" s="14">
        <f>K12*(Inputs!$B$22+Inputs!$B$23)</f>
        <v/>
      </c>
    </row>
    <row r="20">
      <c r="A20" t="inlineStr">
        <is>
          <t>Δ Net working capital</t>
        </is>
      </c>
      <c r="B20" s="14">
        <f>$B$5*(B12-Inputs!$B$19)</f>
        <v/>
      </c>
      <c r="C20" s="14">
        <f>$B$5*(C12-B12)</f>
        <v/>
      </c>
      <c r="D20" s="14">
        <f>$B$5*(D12-C12)</f>
        <v/>
      </c>
      <c r="E20" s="14">
        <f>$B$5*(E12-D12)</f>
        <v/>
      </c>
      <c r="F20" s="14">
        <f>$B$5*(F12-E12)</f>
        <v/>
      </c>
      <c r="G20" s="14">
        <f>$B$5*(G12-F12)</f>
        <v/>
      </c>
      <c r="H20" s="14">
        <f>$B$5*(H12-G12)</f>
        <v/>
      </c>
      <c r="I20" s="14">
        <f>$B$5*(I12-H12)</f>
        <v/>
      </c>
      <c r="J20" s="14">
        <f>$B$5*(J12-I12)</f>
        <v/>
      </c>
      <c r="K20" s="14">
        <f>$B$5*(K12-J12)</f>
        <v/>
      </c>
    </row>
    <row r="21">
      <c r="A21" t="inlineStr">
        <is>
          <t>FCFF</t>
        </is>
      </c>
      <c r="B21" s="14">
        <f>B17+B18-B19-B20</f>
        <v/>
      </c>
      <c r="C21" s="14">
        <f>C17+C18-C19-C20</f>
        <v/>
      </c>
      <c r="D21" s="14">
        <f>D17+D18-D19-D20</f>
        <v/>
      </c>
      <c r="E21" s="14">
        <f>E17+E18-E19-E20</f>
        <v/>
      </c>
      <c r="F21" s="14">
        <f>F17+F18-F19-F20</f>
        <v/>
      </c>
      <c r="G21" s="14">
        <f>G17+G18-G19-G20</f>
        <v/>
      </c>
      <c r="H21" s="14">
        <f>H17+H18-H19-H20</f>
        <v/>
      </c>
      <c r="I21" s="14">
        <f>I17+I18-I19-I20</f>
        <v/>
      </c>
      <c r="J21" s="14">
        <f>J17+J18-J19-J20</f>
        <v/>
      </c>
      <c r="K21" s="14">
        <f>K17+K18-K19-K20</f>
        <v/>
      </c>
    </row>
    <row r="22">
      <c r="A22" t="inlineStr">
        <is>
          <t>Years from valuation date (mid-year)</t>
        </is>
      </c>
      <c r="B22" s="19">
        <f>(DATE(B9,10,31)-182-Inputs!$B$5)/365.25</f>
        <v/>
      </c>
      <c r="C22" s="19">
        <f>(DATE(C9,10,31)-182-Inputs!$B$5)/365.25</f>
        <v/>
      </c>
      <c r="D22" s="19">
        <f>(DATE(D9,10,31)-182-Inputs!$B$5)/365.25</f>
        <v/>
      </c>
      <c r="E22" s="19">
        <f>(DATE(E9,10,31)-182-Inputs!$B$5)/365.25</f>
        <v/>
      </c>
      <c r="F22" s="19">
        <f>(DATE(F9,10,31)-182-Inputs!$B$5)/365.25</f>
        <v/>
      </c>
      <c r="G22" s="19">
        <f>(DATE(G9,10,31)-182-Inputs!$B$5)/365.25</f>
        <v/>
      </c>
      <c r="H22" s="19">
        <f>(DATE(H9,10,31)-182-Inputs!$B$5)/365.25</f>
        <v/>
      </c>
      <c r="I22" s="19">
        <f>(DATE(I9,10,31)-182-Inputs!$B$5)/365.25</f>
        <v/>
      </c>
      <c r="J22" s="19">
        <f>(DATE(J9,10,31)-182-Inputs!$B$5)/365.25</f>
        <v/>
      </c>
      <c r="K22" s="19">
        <f>(DATE(K9,10,31)-182-Inputs!$B$5)/365.25</f>
        <v/>
      </c>
    </row>
    <row r="23">
      <c r="A23" t="inlineStr">
        <is>
          <t>Discount factor</t>
        </is>
      </c>
      <c r="B23" s="13">
        <f>1/(1+WACC!$B$13)^B22</f>
        <v/>
      </c>
      <c r="C23" s="13">
        <f>1/(1+WACC!$B$13)^C22</f>
        <v/>
      </c>
      <c r="D23" s="13">
        <f>1/(1+WACC!$B$13)^D22</f>
        <v/>
      </c>
      <c r="E23" s="13">
        <f>1/(1+WACC!$B$13)^E22</f>
        <v/>
      </c>
      <c r="F23" s="13">
        <f>1/(1+WACC!$B$13)^F22</f>
        <v/>
      </c>
      <c r="G23" s="13">
        <f>1/(1+WACC!$B$13)^G22</f>
        <v/>
      </c>
      <c r="H23" s="13">
        <f>1/(1+WACC!$B$13)^H22</f>
        <v/>
      </c>
      <c r="I23" s="13">
        <f>1/(1+WACC!$B$13)^I22</f>
        <v/>
      </c>
      <c r="J23" s="13">
        <f>1/(1+WACC!$B$13)^J22</f>
        <v/>
      </c>
      <c r="K23" s="13">
        <f>1/(1+WACC!$B$13)^K22</f>
        <v/>
      </c>
    </row>
    <row r="24">
      <c r="A24" t="inlineStr">
        <is>
          <t>PV of FCFF</t>
        </is>
      </c>
      <c r="B24" s="14">
        <f>B21*B23</f>
        <v/>
      </c>
      <c r="C24" s="14">
        <f>C21*C23</f>
        <v/>
      </c>
      <c r="D24" s="14">
        <f>D21*D23</f>
        <v/>
      </c>
      <c r="E24" s="14">
        <f>E21*E23</f>
        <v/>
      </c>
      <c r="F24" s="14">
        <f>F21*F23</f>
        <v/>
      </c>
      <c r="G24" s="14">
        <f>G21*G23</f>
        <v/>
      </c>
      <c r="H24" s="14">
        <f>H21*H23</f>
        <v/>
      </c>
      <c r="I24" s="14">
        <f>I21*I23</f>
        <v/>
      </c>
      <c r="J24" s="14">
        <f>J21*J23</f>
        <v/>
      </c>
      <c r="K24" s="14">
        <f>K21*K23</f>
        <v/>
      </c>
    </row>
    <row r="26">
      <c r="A26" t="inlineStr">
        <is>
          <t>PV of Q4 FY26E stub FCFF</t>
        </is>
      </c>
      <c r="B26" s="14">
        <f>Inputs!$B$20/(1+WACC!$B$13)^(30/365.25)</f>
        <v/>
      </c>
    </row>
    <row r="27">
      <c r="A27" t="inlineStr">
        <is>
          <t>PV of explicit FCFF FY27E–FY36E</t>
        </is>
      </c>
      <c r="B27" s="14">
        <f>SUM(B24:K24)</f>
        <v/>
      </c>
    </row>
    <row r="28">
      <c r="A28" t="inlineStr">
        <is>
          <t>Terminal-year NOPAT (FY37E)</t>
        </is>
      </c>
      <c r="B28" s="14">
        <f>K17*(1+B4)</f>
        <v/>
      </c>
    </row>
    <row r="29">
      <c r="A29" t="inlineStr">
        <is>
          <t>Terminal FCFF (after reinvestment at RONIC)</t>
        </is>
      </c>
      <c r="B29" s="14">
        <f>B28*(1-B4/Inputs!$B$24)</f>
        <v/>
      </c>
    </row>
    <row r="30">
      <c r="A30" t="inlineStr">
        <is>
          <t>Terminal value at FY36 end</t>
        </is>
      </c>
      <c r="B30" s="14">
        <f>B29/(WACC!$B$13-B4)</f>
        <v/>
      </c>
    </row>
    <row r="31">
      <c r="A31" t="inlineStr">
        <is>
          <t>PV of terminal value</t>
        </is>
      </c>
      <c r="B31" s="14">
        <f>B30/(1+WACC!$B$13)^((DATE(2036,10,31)-Inputs!$B$5)/365.25)</f>
        <v/>
      </c>
    </row>
    <row r="32">
      <c r="A32" t="inlineStr">
        <is>
          <t>Enterprise value</t>
        </is>
      </c>
      <c r="B32" s="14">
        <f>B26+B27+B31</f>
        <v/>
      </c>
    </row>
    <row r="33">
      <c r="A33" t="inlineStr">
        <is>
          <t>Less: gross debt</t>
        </is>
      </c>
      <c r="B33" s="14">
        <f>-Inputs!$B$8</f>
        <v/>
      </c>
    </row>
    <row r="34">
      <c r="A34" t="inlineStr">
        <is>
          <t>Plus: cash</t>
        </is>
      </c>
      <c r="B34" s="14">
        <f>Inputs!$B$9</f>
        <v/>
      </c>
    </row>
    <row r="35">
      <c r="A35" t="inlineStr">
        <is>
          <t>Less: non-controlling interests</t>
        </is>
      </c>
      <c r="B35" s="14">
        <f>-Inputs!$B$10</f>
        <v/>
      </c>
    </row>
    <row r="36">
      <c r="A36" t="inlineStr">
        <is>
          <t>Equity value</t>
        </is>
      </c>
      <c r="B36" s="14">
        <f>SUM(B32:B35)</f>
        <v/>
      </c>
    </row>
    <row r="37">
      <c r="A37" t="inlineStr">
        <is>
          <t>Fully diluted shares (m)</t>
        </is>
      </c>
      <c r="B37" s="20">
        <f>Inputs!$B$7</f>
        <v/>
      </c>
    </row>
    <row r="38">
      <c r="A38" s="21" t="inlineStr">
        <is>
          <t>Value per share ($)</t>
        </is>
      </c>
      <c r="B38" s="22">
        <f>B36/B37</f>
        <v/>
      </c>
    </row>
    <row r="39">
      <c r="A39" t="inlineStr">
        <is>
          <t>Terminal value share of EV</t>
        </is>
      </c>
      <c r="B39" s="23">
        <f>B31/B32</f>
        <v/>
      </c>
    </row>
    <row r="40">
      <c r="A40" t="inlineStr">
        <is>
          <t>Check: valuation.py value per share</t>
        </is>
      </c>
      <c r="B40" s="19" t="n">
        <v>53.93493628079545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Scenario summary</t>
        </is>
      </c>
    </row>
    <row r="2">
      <c r="A2" s="2" t="inlineStr">
        <is>
          <t>Value per share by scenario and probability-weighted value</t>
        </is>
      </c>
    </row>
    <row r="4">
      <c r="A4" s="3" t="inlineStr">
        <is>
          <t>Scenario</t>
        </is>
      </c>
      <c r="B4" s="4" t="inlineStr">
        <is>
          <t>Probability</t>
        </is>
      </c>
      <c r="C4" s="4" t="inlineStr">
        <is>
          <t>Value per share</t>
        </is>
      </c>
      <c r="D4" s="4" t="inlineStr">
        <is>
          <t>Weighted</t>
        </is>
      </c>
    </row>
    <row r="5">
      <c r="A5" t="inlineStr">
        <is>
          <t>Bear</t>
        </is>
      </c>
      <c r="B5" s="24">
        <f>DCF_Bear!B6</f>
        <v/>
      </c>
      <c r="C5" s="19">
        <f>DCF_Bear!B38</f>
        <v/>
      </c>
      <c r="D5" s="19">
        <f>B5*C5</f>
        <v/>
      </c>
    </row>
    <row r="6">
      <c r="A6" t="inlineStr">
        <is>
          <t>Base</t>
        </is>
      </c>
      <c r="B6" s="24">
        <f>DCF_Base!B6</f>
        <v/>
      </c>
      <c r="C6" s="19">
        <f>DCF_Base!B38</f>
        <v/>
      </c>
      <c r="D6" s="19">
        <f>B6*C6</f>
        <v/>
      </c>
    </row>
    <row r="7">
      <c r="A7" t="inlineStr">
        <is>
          <t>Bull</t>
        </is>
      </c>
      <c r="B7" s="24">
        <f>DCF_Bull!B6</f>
        <v/>
      </c>
      <c r="C7" s="19">
        <f>DCF_Bull!B38</f>
        <v/>
      </c>
      <c r="D7" s="19">
        <f>B7*C7</f>
        <v/>
      </c>
    </row>
    <row r="8">
      <c r="A8" s="17" t="inlineStr">
        <is>
          <t>Probability-weighted</t>
        </is>
      </c>
      <c r="D8" s="25">
        <f>SUM(D5:D7)</f>
        <v/>
      </c>
    </row>
    <row r="9">
      <c r="A9" t="inlineStr">
        <is>
          <t>vs. price</t>
        </is>
      </c>
      <c r="D9" s="23">
        <f>D8/Inputs!$B$6-1</f>
        <v/>
      </c>
    </row>
    <row r="12">
      <c r="A12" t="inlineStr">
        <is>
          <t>Bear</t>
        </is>
      </c>
      <c r="B12" t="inlineStr">
        <is>
          <t>AI-server digestion and memory-cost normalisation reverse FY26 ASP gains; networking share loss to Cisco/Arista; margins revert toward the pre-Juniper mix-adjusted ~10–11%.</t>
        </is>
      </c>
    </row>
    <row r="13">
      <c r="A13" t="inlineStr">
        <is>
          <t>Base</t>
        </is>
      </c>
      <c r="B13" t="inlineStr">
        <is>
          <t>FY27 in line with the raised framework (+13–17% revenue, 14–15% non-GAAP margin); growth fades to IDC/Gartner-consistent mid-single digits; margin settles at 12.5% as AI mix offsets networking mix.</t>
        </is>
      </c>
    </row>
    <row r="14">
      <c r="A14" t="inlineStr">
        <is>
          <t>Bull</t>
        </is>
      </c>
      <c r="B14" t="inlineStr">
        <is>
          <t>Networking (Oracle, Helios scale-up switches) lifts mix toward 30%+ of revenue at mid/high-20s margins; enterprise AI inference sustains server demand; margins hold near FY27 levels.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 WACC x g</t>
        </is>
      </c>
    </row>
    <row r="2">
      <c r="A2" s="2" t="inlineStr">
        <is>
          <t>Base-case value per share; computed by code/valuation.py</t>
        </is>
      </c>
    </row>
    <row r="4">
      <c r="A4" s="3" t="inlineStr"/>
      <c r="B4" s="4" t="inlineStr">
        <is>
          <t>2.00%</t>
        </is>
      </c>
      <c r="C4" s="4" t="inlineStr">
        <is>
          <t>2.25%</t>
        </is>
      </c>
      <c r="D4" s="4" t="inlineStr">
        <is>
          <t>2.50%</t>
        </is>
      </c>
      <c r="E4" s="4" t="inlineStr">
        <is>
          <t>2.75%</t>
        </is>
      </c>
      <c r="F4" s="4" t="inlineStr">
        <is>
          <t>3.00%</t>
        </is>
      </c>
      <c r="G4" s="4" t="inlineStr">
        <is>
          <t>3.25%</t>
        </is>
      </c>
    </row>
    <row r="5">
      <c r="A5" t="inlineStr">
        <is>
          <t>8.30%</t>
        </is>
      </c>
      <c r="B5" s="19" t="n">
        <v>45.04215159680009</v>
      </c>
      <c r="C5" s="19" t="n">
        <v>45.5404921589244</v>
      </c>
      <c r="D5" s="19" t="n">
        <v>46.0780578621176</v>
      </c>
      <c r="E5" s="19" t="n">
        <v>46.66014898193469</v>
      </c>
      <c r="F5" s="19" t="n">
        <v>47.29306576310688</v>
      </c>
      <c r="G5" s="19" t="n">
        <v>47.98435591515288</v>
      </c>
    </row>
    <row r="6">
      <c r="A6" t="inlineStr">
        <is>
          <t>8.80%</t>
        </is>
      </c>
      <c r="B6" s="19" t="n">
        <v>41.23594133794404</v>
      </c>
      <c r="C6" s="19" t="n">
        <v>41.60015859756127</v>
      </c>
      <c r="D6" s="19" t="n">
        <v>41.99000090311146</v>
      </c>
      <c r="E6" s="19" t="n">
        <v>42.40864468272804</v>
      </c>
      <c r="F6" s="19" t="n">
        <v>42.85981398312457</v>
      </c>
      <c r="G6" s="19" t="n">
        <v>43.3479037973592</v>
      </c>
    </row>
    <row r="7">
      <c r="A7" t="inlineStr">
        <is>
          <t>9.30%</t>
        </is>
      </c>
      <c r="B7" s="19" t="n">
        <v>37.94831590547106</v>
      </c>
      <c r="C7" s="19" t="n">
        <v>38.21386523673539</v>
      </c>
      <c r="D7" s="19" t="n">
        <v>38.49603900109804</v>
      </c>
      <c r="E7" s="19" t="n">
        <v>38.79674063204632</v>
      </c>
      <c r="F7" s="19" t="n">
        <v>39.11817567431837</v>
      </c>
      <c r="G7" s="19" t="n">
        <v>39.46291419905488</v>
      </c>
    </row>
    <row r="8">
      <c r="A8" t="inlineStr">
        <is>
          <t>9.80%</t>
        </is>
      </c>
      <c r="B8" s="19" t="n">
        <v>35.07959745168544</v>
      </c>
      <c r="C8" s="19" t="n">
        <v>35.27168115717181</v>
      </c>
      <c r="D8" s="19" t="n">
        <v>35.47434126545396</v>
      </c>
      <c r="E8" s="19" t="n">
        <v>35.68870285571789</v>
      </c>
      <c r="F8" s="19" t="n">
        <v>35.91605644929193</v>
      </c>
      <c r="G8" s="19" t="n">
        <v>36.15788958045898</v>
      </c>
    </row>
    <row r="9">
      <c r="A9" t="inlineStr">
        <is>
          <t>10.30%</t>
        </is>
      </c>
      <c r="B9" s="19" t="n">
        <v>32.55412796882846</v>
      </c>
      <c r="C9" s="19" t="n">
        <v>32.69098367752474</v>
      </c>
      <c r="D9" s="19" t="n">
        <v>32.83430646263606</v>
      </c>
      <c r="E9" s="19" t="n">
        <v>32.98473871162535</v>
      </c>
      <c r="F9" s="19" t="n">
        <v>33.1430108049474</v>
      </c>
      <c r="G9" s="19" t="n">
        <v>33.30995671667167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 growth x margin</t>
        </is>
      </c>
    </row>
    <row r="2">
      <c r="A2" s="2" t="inlineStr">
        <is>
          <t>Base-case value per share; computed by code/valuation.py</t>
        </is>
      </c>
    </row>
    <row r="4">
      <c r="A4" s="3" t="inlineStr"/>
      <c r="B4" s="4" t="inlineStr">
        <is>
          <t>10.5% LT margin</t>
        </is>
      </c>
      <c r="C4" s="4" t="inlineStr">
        <is>
          <t>11.5% LT margin</t>
        </is>
      </c>
      <c r="D4" s="4" t="inlineStr">
        <is>
          <t>12.5% LT margin</t>
        </is>
      </c>
      <c r="E4" s="4" t="inlineStr">
        <is>
          <t>13.5% LT margin</t>
        </is>
      </c>
      <c r="F4" s="4" t="inlineStr">
        <is>
          <t>14.5% LT margin</t>
        </is>
      </c>
    </row>
    <row r="5">
      <c r="A5" t="inlineStr">
        <is>
          <t>-2% p.a. growth</t>
        </is>
      </c>
      <c r="B5" s="19" t="n">
        <v>25.94969046155373</v>
      </c>
      <c r="C5" s="19" t="n">
        <v>29.33278572851387</v>
      </c>
      <c r="D5" s="19" t="n">
        <v>32.715880995474</v>
      </c>
      <c r="E5" s="19" t="n">
        <v>36.09897626243411</v>
      </c>
      <c r="F5" s="19" t="n">
        <v>39.48207152939425</v>
      </c>
    </row>
    <row r="6">
      <c r="A6" t="inlineStr">
        <is>
          <t>-1% p.a. growth</t>
        </is>
      </c>
      <c r="B6" s="19" t="n">
        <v>28.25777778729334</v>
      </c>
      <c r="C6" s="19" t="n">
        <v>31.91786823801116</v>
      </c>
      <c r="D6" s="19" t="n">
        <v>35.57795868872899</v>
      </c>
      <c r="E6" s="19" t="n">
        <v>39.23804913944682</v>
      </c>
      <c r="F6" s="19" t="n">
        <v>42.89813959016465</v>
      </c>
    </row>
    <row r="7">
      <c r="A7" t="inlineStr">
        <is>
          <t>+0% p.a. growth</t>
        </is>
      </c>
      <c r="B7" s="19" t="n">
        <v>30.74343961709327</v>
      </c>
      <c r="C7" s="19" t="n">
        <v>34.70251314735591</v>
      </c>
      <c r="D7" s="19" t="n">
        <v>38.66158667761855</v>
      </c>
      <c r="E7" s="19" t="n">
        <v>42.62066020788118</v>
      </c>
      <c r="F7" s="19" t="n">
        <v>46.57973373814382</v>
      </c>
    </row>
    <row r="8">
      <c r="A8" t="inlineStr">
        <is>
          <t>+1% p.a. growth</t>
        </is>
      </c>
      <c r="B8" s="19" t="n">
        <v>33.41975154008054</v>
      </c>
      <c r="C8" s="19" t="n">
        <v>37.70141633304722</v>
      </c>
      <c r="D8" s="19" t="n">
        <v>41.98308112601387</v>
      </c>
      <c r="E8" s="19" t="n">
        <v>46.26474591898055</v>
      </c>
      <c r="F8" s="19" t="n">
        <v>50.54641071194722</v>
      </c>
    </row>
    <row r="9">
      <c r="A9" t="inlineStr">
        <is>
          <t>+2% p.a. growth</t>
        </is>
      </c>
      <c r="B9" s="19" t="n">
        <v>36.30065023905766</v>
      </c>
      <c r="C9" s="19" t="n">
        <v>40.93024132590602</v>
      </c>
      <c r="D9" s="19" t="n">
        <v>45.55983241275437</v>
      </c>
      <c r="E9" s="19" t="n">
        <v>50.18942349960273</v>
      </c>
      <c r="F9" s="19" t="n">
        <v>54.81901458645108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Driver sensitivity</t>
        </is>
      </c>
    </row>
    <row r="2">
      <c r="A2" s="2" t="inlineStr">
        <is>
          <t>One-at-a-time flex of base case</t>
        </is>
      </c>
    </row>
    <row r="4">
      <c r="A4" s="3" t="inlineStr"/>
      <c r="B4" s="4" t="inlineStr">
        <is>
          <t>low_case</t>
        </is>
      </c>
      <c r="C4" s="4" t="inlineStr">
        <is>
          <t>high_case</t>
        </is>
      </c>
      <c r="D4" s="4" t="inlineStr">
        <is>
          <t>range</t>
        </is>
      </c>
    </row>
    <row r="5">
      <c r="A5" t="inlineStr">
        <is>
          <t>NWC intensity ±3pp of Δrevenue</t>
        </is>
      </c>
      <c r="B5" s="19" t="n">
        <v>38.36155909249455</v>
      </c>
      <c r="C5" s="19" t="n">
        <v>39.23192217159808</v>
      </c>
      <c r="D5" s="19" t="n">
        <v>0.8703630791035337</v>
      </c>
    </row>
    <row r="6">
      <c r="A6" t="inlineStr">
        <is>
          <t>Terminal growth ±0.5pp</t>
        </is>
      </c>
      <c r="B6" s="19" t="n">
        <v>38.21386523673539</v>
      </c>
      <c r="C6" s="19" t="n">
        <v>39.46291419905488</v>
      </c>
      <c r="D6" s="19" t="n">
        <v>1.249048962319492</v>
      </c>
    </row>
    <row r="7">
      <c r="A7" t="inlineStr">
        <is>
          <t>Long-term non-GAAP margin ±1.5pp</t>
        </is>
      </c>
      <c r="B7" s="19" t="n">
        <v>32.72297638222459</v>
      </c>
      <c r="C7" s="19" t="n">
        <v>44.6001969730125</v>
      </c>
      <c r="D7" s="19" t="n">
        <v>11.87722059078791</v>
      </c>
    </row>
    <row r="8">
      <c r="A8" t="inlineStr">
        <is>
          <t>Revenue growth ±2pp p.a.</t>
        </is>
      </c>
      <c r="B8" s="19" t="n">
        <v>32.84369685942244</v>
      </c>
      <c r="C8" s="19" t="n">
        <v>45.70259984460089</v>
      </c>
      <c r="D8" s="19" t="n">
        <v>12.85890298517845</v>
      </c>
    </row>
    <row r="9">
      <c r="A9" t="inlineStr">
        <is>
          <t>WACC ±1.0pp</t>
        </is>
      </c>
      <c r="B9" s="19" t="n">
        <v>32.98473871162535</v>
      </c>
      <c r="C9" s="19" t="n">
        <v>46.66014898193469</v>
      </c>
      <c r="D9" s="19" t="n">
        <v>13.67541027030934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Comps implied</t>
        </is>
      </c>
    </row>
    <row r="2">
      <c r="A2" s="2" t="inlineStr">
        <is>
          <t>Peer multiples applied to HPE metrics</t>
        </is>
      </c>
    </row>
    <row r="4">
      <c r="A4" s="3" t="inlineStr"/>
      <c r="B4" s="4" t="inlineStr">
        <is>
          <t>metric</t>
        </is>
      </c>
      <c r="C4" s="4" t="inlineStr">
        <is>
          <t>base_value</t>
        </is>
      </c>
      <c r="D4" s="4" t="inlineStr">
        <is>
          <t>multiple_low</t>
        </is>
      </c>
      <c r="E4" s="4" t="inlineStr">
        <is>
          <t>multiple_mid</t>
        </is>
      </c>
      <c r="F4" s="4" t="inlineStr">
        <is>
          <t>multiple_high</t>
        </is>
      </c>
      <c r="G4" s="4" t="inlineStr">
        <is>
          <t>value_low</t>
        </is>
      </c>
      <c r="H4" s="4" t="inlineStr">
        <is>
          <t>value_mid</t>
        </is>
      </c>
      <c r="I4" s="4" t="inlineStr">
        <is>
          <t>value_high</t>
        </is>
      </c>
      <c r="J4" s="4" t="inlineStr">
        <is>
          <t>hpe_current_multiple</t>
        </is>
      </c>
      <c r="K4" s="4" t="inlineStr">
        <is>
          <t>note</t>
        </is>
      </c>
    </row>
    <row r="5">
      <c r="A5" t="inlineStr">
        <is>
          <t>P/E next FY (core peers)</t>
        </is>
      </c>
      <c r="B5" s="19" t="inlineStr">
        <is>
          <t>HPE FY27 consensus non-GAAP EPS</t>
        </is>
      </c>
      <c r="C5" s="19" t="n">
        <v>4.59731</v>
      </c>
      <c r="D5" s="19" t="n">
        <v>7.529215323196947</v>
      </c>
      <c r="E5" s="19" t="n">
        <v>19.02828929694201</v>
      </c>
      <c r="F5" s="19" t="n">
        <v>23.00105531936043</v>
      </c>
      <c r="G5" s="19" t="n">
        <v>34.61413689748656</v>
      </c>
      <c r="H5" s="19" t="n">
        <v>87.47894466772449</v>
      </c>
      <c r="I5" s="19" t="n">
        <v>105.7429816302489</v>
      </c>
      <c r="J5" s="19" t="n">
        <v>13.50572403265994</v>
      </c>
      <c r="K5" s="19" t="inlineStr">
        <is>
          <t>Core peers min–median–max | DELL 23.0x, CSCO 20.0x, NTAP 18.0x, SMCI 7.5x</t>
        </is>
      </c>
    </row>
    <row r="6">
      <c r="A6" t="inlineStr">
        <is>
          <t>EV/EBITDA TTM, GAAP basis (core peers)</t>
        </is>
      </c>
      <c r="B6" s="19" t="inlineStr">
        <is>
          <t>HPE TTM GAAP EBITDA</t>
        </is>
      </c>
      <c r="C6" s="19" t="n">
        <v>6092</v>
      </c>
      <c r="D6" s="19" t="n">
        <v>6.74892522787447</v>
      </c>
      <c r="E6" s="19" t="n">
        <v>18.73676960937012</v>
      </c>
      <c r="F6" s="19" t="n">
        <v>22.1816458091138</v>
      </c>
      <c r="G6" s="19" t="n">
        <v>18.69932569537387</v>
      </c>
      <c r="H6" s="19" t="n">
        <v>69.23173826660677</v>
      </c>
      <c r="I6" s="19" t="n">
        <v>83.75293989739988</v>
      </c>
      <c r="J6" s="19" t="n">
        <v>17.04252940258069</v>
      </c>
      <c r="K6" s="19" t="inlineStr">
        <is>
          <t>Core peers with data | DELL 22.2x, NTAP 18.7x, SMCI 6.7x</t>
        </is>
      </c>
    </row>
    <row r="7">
      <c r="A7" t="inlineStr">
        <is>
          <t>HPE own forward P/E history (FY20–FY24)</t>
        </is>
      </c>
      <c r="B7" s="19" t="inlineStr">
        <is>
          <t>HPE FY27 consensus non-GAAP EPS</t>
        </is>
      </c>
      <c r="C7" s="19" t="n">
        <v>4.59731</v>
      </c>
      <c r="D7" s="19" t="n">
        <v>4.408163440470793</v>
      </c>
      <c r="E7" s="19" t="n">
        <v>7.252475058678352</v>
      </c>
      <c r="F7" s="19" t="n">
        <v>10.04639163459699</v>
      </c>
      <c r="G7" s="19" t="n">
        <v>20.26569386651078</v>
      </c>
      <c r="H7" s="19" t="n">
        <v>33.34187611201258</v>
      </c>
      <c r="I7" s="19" t="n">
        <v>46.1863767256491</v>
      </c>
      <c r="J7" s="19" t="n">
        <v>13.50572403265994</v>
      </c>
      <c r="K7" s="19" t="inlineStr">
        <is>
          <t>Year-end price / next-year actual non-GAAP EPS | FY2020 4.4x, FY2021 7.3x, FY2022 6.6x, FY2023 7.7x, FY2024 10.0x</t>
        </is>
      </c>
    </row>
    <row r="8">
      <c r="A8" t="inlineStr">
        <is>
          <t>Sum of the parts (segment EV/EBIT)</t>
        </is>
      </c>
      <c r="B8" s="19" t="inlineStr">
        <is>
          <t>TTM segment EBIT after SBC and corporate costs</t>
        </is>
      </c>
      <c r="C8" s="19" t="n">
        <v>4972</v>
      </c>
      <c r="D8" s="19" t="n"/>
      <c r="E8" s="19" t="n">
        <v>26.1133892160116</v>
      </c>
      <c r="F8" s="19" t="n"/>
      <c r="G8" s="19" t="n">
        <v>66.61343715080039</v>
      </c>
      <c r="H8" s="19" t="n">
        <v>80.08924044395603</v>
      </c>
      <c r="I8" s="19" t="n">
        <v>93.56504373711164</v>
      </c>
      <c r="J8" s="19" t="n">
        <v>20.88155452946934</v>
      </c>
      <c r="K8" s="19" t="inlineStr">
        <is>
          <t>Networking EBIT $2,150m × Cisco 29.2x; Cloud &amp; AI EBIT $2,822m × Dell/NetApp median 23.7x; ±15%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M&amp;A</t>
        </is>
      </c>
    </row>
    <row r="2">
      <c r="A2" s="2" t="inlineStr">
        <is>
          <t>Control-premium view</t>
        </is>
      </c>
    </row>
    <row r="4">
      <c r="A4" s="3" t="inlineStr"/>
      <c r="B4" s="4" t="inlineStr">
        <is>
          <t>low</t>
        </is>
      </c>
      <c r="C4" s="4" t="inlineStr">
        <is>
          <t>high</t>
        </is>
      </c>
      <c r="D4" s="4" t="inlineStr">
        <is>
          <t>basis</t>
        </is>
      </c>
    </row>
    <row r="5">
      <c r="A5" t="inlineStr">
        <is>
          <t>Control premium 25–35% on 1-month average price</t>
        </is>
      </c>
      <c r="B5" s="19" t="n">
        <v>68.61547629038493</v>
      </c>
      <c r="C5" s="19" t="n">
        <v>74.10471439361574</v>
      </c>
      <c r="D5" s="19" t="inlineStr">
        <is>
          <t>1-month average close $54.89; 25–35% typical US control premium (FactSet/BVR study range); HPE paid 32% for Juniper</t>
        </is>
      </c>
    </row>
    <row r="6">
      <c r="A6" t="inlineStr">
        <is>
          <t>Control premium 25–35% on base-case DCF value</t>
        </is>
      </c>
      <c r="B6" s="19" t="n">
        <v>48.4959257900579</v>
      </c>
      <c r="C6" s="19" t="n">
        <v>52.37559985326253</v>
      </c>
      <c r="D6" s="19" t="inlineStr">
        <is>
          <t>Strategic value incl. synergies proxied by premium to intrinsic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Football field</t>
        </is>
      </c>
    </row>
    <row r="2">
      <c r="A2" s="2" t="inlineStr">
        <is>
          <t>Value ranges per share vs $62.09</t>
        </is>
      </c>
    </row>
    <row r="4">
      <c r="A4" s="3" t="inlineStr"/>
      <c r="B4" s="4" t="inlineStr">
        <is>
          <t>low</t>
        </is>
      </c>
      <c r="C4" s="4" t="inlineStr">
        <is>
          <t>high</t>
        </is>
      </c>
    </row>
    <row r="5">
      <c r="A5" t="inlineStr">
        <is>
          <t>52-week trading range (closes)</t>
        </is>
      </c>
      <c r="B5" s="19" t="n">
        <v>20</v>
      </c>
      <c r="C5" s="19" t="n">
        <v>62.09</v>
      </c>
    </row>
    <row r="6">
      <c r="A6" t="inlineStr">
        <is>
          <t>Sell-side price targets (low–high)</t>
        </is>
      </c>
      <c r="B6" s="19" t="n">
        <v>52</v>
      </c>
      <c r="C6" s="19" t="n">
        <v>88</v>
      </c>
    </row>
    <row r="7">
      <c r="A7" t="inlineStr">
        <is>
          <t>DCF: bear to bull scenarios</t>
        </is>
      </c>
      <c r="B7" s="19" t="n">
        <v>22.19135858412855</v>
      </c>
      <c r="C7" s="19" t="n">
        <v>53.93493628079545</v>
      </c>
    </row>
    <row r="8">
      <c r="A8" t="inlineStr">
        <is>
          <t>DCF base: WACC ±0.5pp, g ±0.25pp</t>
        </is>
      </c>
      <c r="B8" s="19" t="n">
        <v>35.47434126545396</v>
      </c>
      <c r="C8" s="19" t="n">
        <v>42.85981398312457</v>
      </c>
    </row>
    <row r="9">
      <c r="A9" t="inlineStr">
        <is>
          <t>P/E next FY (core peers)</t>
        </is>
      </c>
      <c r="B9" s="19" t="n">
        <v>34.61413689748656</v>
      </c>
      <c r="C9" s="19" t="n">
        <v>105.7429816302489</v>
      </c>
    </row>
    <row r="10">
      <c r="A10" t="inlineStr">
        <is>
          <t>EV/EBITDA TTM, GAAP basis (core peers)</t>
        </is>
      </c>
      <c r="B10" s="19" t="n">
        <v>18.69932569537387</v>
      </c>
      <c r="C10" s="19" t="n">
        <v>83.75293989739988</v>
      </c>
    </row>
    <row r="11">
      <c r="A11" t="inlineStr">
        <is>
          <t>HPE own forward P/E history (FY20–FY24)</t>
        </is>
      </c>
      <c r="B11" s="19" t="n">
        <v>20.26569386651078</v>
      </c>
      <c r="C11" s="19" t="n">
        <v>46.1863767256491</v>
      </c>
    </row>
    <row r="12">
      <c r="A12" t="inlineStr">
        <is>
          <t>Sum of the parts (segment EV/EBIT)</t>
        </is>
      </c>
      <c r="B12" s="19" t="n">
        <v>66.61343715080039</v>
      </c>
      <c r="C12" s="19" t="n">
        <v>93.56504373711164</v>
      </c>
    </row>
    <row r="13">
      <c r="A13" t="inlineStr">
        <is>
          <t>Control premium 25–35% on 1-month average price</t>
        </is>
      </c>
      <c r="B13" s="19" t="n">
        <v>68.61547629038493</v>
      </c>
      <c r="C13" s="19" t="n">
        <v>74.10471439361574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Reverse DCF — what $62.09 implies</t>
        </is>
      </c>
    </row>
    <row r="2">
      <c r="A2" s="2" t="inlineStr">
        <is>
          <t>Solved by bisection in code/valuation.py, holding other base-case drivers</t>
        </is>
      </c>
    </row>
    <row r="4">
      <c r="A4" t="inlineStr">
        <is>
          <t>implied long term margin at base growth</t>
        </is>
      </c>
      <c r="B4" s="16" t="n">
        <v>0.1841765050481776</v>
      </c>
    </row>
    <row r="5">
      <c r="A5" t="inlineStr">
        <is>
          <t>implied growth uplift pp at base margin</t>
        </is>
      </c>
      <c r="B5" s="16" t="n">
        <v>0.05822578828442908</v>
      </c>
    </row>
    <row r="6">
      <c r="A6" t="inlineStr">
        <is>
          <t>implied wacc at base case</t>
        </is>
      </c>
      <c r="B6" s="16" t="n">
        <v>0.07015328666223142</v>
      </c>
    </row>
    <row r="7">
      <c r="A7" t="inlineStr">
        <is>
          <t>implied growth uplift if margin holds at fy27 level</t>
        </is>
      </c>
      <c r="B7" s="16" t="n">
        <v>0.03548284538613501</v>
      </c>
    </row>
    <row r="8">
      <c r="A8" t="inlineStr">
        <is>
          <t>implied fy27 36 revenue cagr at base margin</t>
        </is>
      </c>
      <c r="B8" s="16" t="n">
        <v>0.1084671824579646</v>
      </c>
    </row>
    <row r="9">
      <c r="A9" t="inlineStr">
        <is>
          <t>base fy27 36 revenue cagr</t>
        </is>
      </c>
      <c r="B9" s="16" t="n">
        <v>0.05021452503282831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Peer fundamentals and multiples</t>
        </is>
      </c>
    </row>
    <row r="2">
      <c r="A2" s="2" t="inlineStr">
        <is>
          <t>TTM from SEC XBRL; prices 11-Sep-2026; forward estimates Yahoo Finance consensus</t>
        </is>
      </c>
    </row>
    <row r="4">
      <c r="A4" s="3" t="inlineStr"/>
      <c r="B4" s="4" t="inlineStr">
        <is>
          <t>Company</t>
        </is>
      </c>
      <c r="C4" s="4" t="inlineStr">
        <is>
          <t>TTM end</t>
        </is>
      </c>
      <c r="D4" s="4" t="inlineStr">
        <is>
          <t>Market cap ($bn)</t>
        </is>
      </c>
      <c r="E4" s="4" t="inlineStr">
        <is>
          <t>EV ($bn)</t>
        </is>
      </c>
      <c r="F4" s="4" t="inlineStr">
        <is>
          <t>TTM revenue ($bn)</t>
        </is>
      </c>
      <c r="G4" s="4" t="inlineStr">
        <is>
          <t>Revenue growth (next FY, cons.)</t>
        </is>
      </c>
      <c r="H4" s="4" t="inlineStr">
        <is>
          <t>Gross margin</t>
        </is>
      </c>
      <c r="I4" s="4" t="inlineStr">
        <is>
          <t>Operating margin (GAAP)</t>
        </is>
      </c>
      <c r="J4" s="4" t="inlineStr">
        <is>
          <t>FCF margin</t>
        </is>
      </c>
      <c r="K4" s="4" t="inlineStr">
        <is>
          <t>R&amp;D % revenue</t>
        </is>
      </c>
      <c r="L4" s="4" t="inlineStr">
        <is>
          <t>SBC % revenue</t>
        </is>
      </c>
      <c r="M4" s="4" t="inlineStr">
        <is>
          <t>Net debt / EBITDA</t>
        </is>
      </c>
      <c r="N4" s="4" t="inlineStr">
        <is>
          <t>P/E (TTM GAAP)</t>
        </is>
      </c>
      <c r="O4" s="4" t="inlineStr">
        <is>
          <t>P/E (next FY cons.)</t>
        </is>
      </c>
      <c r="P4" s="4" t="inlineStr">
        <is>
          <t>P/S (TTM)</t>
        </is>
      </c>
      <c r="Q4" s="4" t="inlineStr">
        <is>
          <t>P/B</t>
        </is>
      </c>
      <c r="R4" s="4" t="inlineStr">
        <is>
          <t>EV/Revenue (TTM)</t>
        </is>
      </c>
      <c r="S4" s="4" t="inlineStr">
        <is>
          <t>EV/EBITDA (TTM GAAP)</t>
        </is>
      </c>
      <c r="T4" s="4" t="inlineStr">
        <is>
          <t>EV/EBIT (TTM GAAP)</t>
        </is>
      </c>
      <c r="U4" s="4" t="inlineStr">
        <is>
          <t>EV/Revenue (next FY cons.)</t>
        </is>
      </c>
      <c r="V4" s="4" t="inlineStr">
        <is>
          <t>FCF yield</t>
        </is>
      </c>
    </row>
    <row r="5">
      <c r="A5" t="inlineStr">
        <is>
          <t>HPE</t>
        </is>
      </c>
      <c r="B5" s="26" t="inlineStr">
        <is>
          <t>HPE</t>
        </is>
      </c>
      <c r="C5" s="26" t="inlineStr">
        <is>
          <t>2026-07-31</t>
        </is>
      </c>
      <c r="D5" s="26" t="n">
        <v>82.45552020263672</v>
      </c>
      <c r="E5" s="26" t="n">
        <v>96.48352020263673</v>
      </c>
      <c r="F5" s="26" t="n">
        <v>41.871</v>
      </c>
      <c r="G5" s="26" t="n">
        <v>0.1724773087419744</v>
      </c>
      <c r="H5" s="26" t="n">
        <v>0.3673186692460175</v>
      </c>
      <c r="I5" s="26" t="n">
        <v>0.0621432495044302</v>
      </c>
      <c r="J5" s="26" t="n">
        <v>0.1091447541257672</v>
      </c>
      <c r="K5" s="26" t="n">
        <v>0.0884860643404743</v>
      </c>
      <c r="L5" s="26" t="n">
        <v>0.0189868882997778</v>
      </c>
      <c r="M5" s="26" t="n">
        <v>2.302692055154301</v>
      </c>
      <c r="N5" s="26" t="n">
        <v>29.54336087518334</v>
      </c>
      <c r="O5" s="26" t="n">
        <v>13.50572403265994</v>
      </c>
      <c r="P5" s="26" t="n">
        <v>1.969275159481185</v>
      </c>
      <c r="Q5" s="26" t="n">
        <v>3.102630952838528</v>
      </c>
      <c r="R5" s="26" t="n">
        <v>2.304304177178398</v>
      </c>
      <c r="S5" s="26" t="n">
        <v>15.83774133332842</v>
      </c>
      <c r="T5" s="26" t="n">
        <v>37.08052275274278</v>
      </c>
      <c r="U5" s="26" t="n">
        <v>1.774392502102467</v>
      </c>
      <c r="V5" s="26" t="n">
        <v>0.055423821094926</v>
      </c>
    </row>
    <row r="6">
      <c r="A6" t="inlineStr">
        <is>
          <t>DELL</t>
        </is>
      </c>
      <c r="B6" s="26" t="inlineStr">
        <is>
          <t>Dell</t>
        </is>
      </c>
      <c r="C6" s="26" t="inlineStr">
        <is>
          <t>2026-07-31</t>
        </is>
      </c>
      <c r="D6" s="26" t="n">
        <v>360.690200977005</v>
      </c>
      <c r="E6" s="26" t="n">
        <v>383.587200977005</v>
      </c>
      <c r="F6" s="26" t="n">
        <v>151.197</v>
      </c>
      <c r="G6" s="26" t="n">
        <v>0.1476988673910955</v>
      </c>
      <c r="H6" s="26" t="n">
        <v>0.1979867325409895</v>
      </c>
      <c r="I6" s="26" t="n">
        <v>0.0942611295197656</v>
      </c>
      <c r="J6" s="26" t="n">
        <v>0.0566148799248662</v>
      </c>
      <c r="K6" s="26" t="n">
        <v>0.0240811656315932</v>
      </c>
      <c r="L6" s="26" t="n">
        <v>0.0048082964609086</v>
      </c>
      <c r="M6" s="26" t="n">
        <v>1.324061759093275</v>
      </c>
      <c r="N6" s="26" t="n">
        <v>31.70066804157189</v>
      </c>
      <c r="O6" s="26" t="n">
        <v>23.00105531936043</v>
      </c>
      <c r="P6" s="26" t="n">
        <v>2.385564534858529</v>
      </c>
      <c r="Q6" s="26" t="n">
        <v>-252.7611779796812</v>
      </c>
      <c r="R6" s="26" t="n">
        <v>2.537002724769704</v>
      </c>
      <c r="S6" s="26" t="n">
        <v>22.1816458091138</v>
      </c>
      <c r="T6" s="26" t="n">
        <v>26.91462257767366</v>
      </c>
      <c r="U6" s="26" t="n">
        <v>1.72658628431487</v>
      </c>
      <c r="V6" s="26" t="n">
        <v>0.0237322776632507</v>
      </c>
    </row>
    <row r="7">
      <c r="A7" t="inlineStr">
        <is>
          <t>SMCI</t>
        </is>
      </c>
      <c r="B7" s="26" t="inlineStr">
        <is>
          <t>Supermicro</t>
        </is>
      </c>
      <c r="C7" s="26" t="inlineStr">
        <is>
          <t>2026-06-30</t>
        </is>
      </c>
      <c r="D7" s="26" t="n">
        <v>26.34431089595037</v>
      </c>
      <c r="E7" s="26" t="n">
        <v>19.05549589595038</v>
      </c>
      <c r="F7" s="26" t="n">
        <v>39.063072</v>
      </c>
      <c r="G7" s="26" t="n">
        <v>0.1732872807054208</v>
      </c>
      <c r="H7" s="26" t="n">
        <v>0.1082160409708688</v>
      </c>
      <c r="I7" s="26" t="n">
        <v>0.07092340305442429</v>
      </c>
      <c r="J7" s="26" t="n">
        <v>-0.1784776425161851</v>
      </c>
      <c r="K7" s="26" t="n">
        <v>0.0197432500956401</v>
      </c>
      <c r="L7" s="26" t="n">
        <v>0.0105499895143935</v>
      </c>
      <c r="M7" s="26" t="n">
        <v>-2.581495002985671</v>
      </c>
      <c r="N7" s="26" t="n">
        <v>11.81119301592563</v>
      </c>
      <c r="O7" s="26" t="n">
        <v>7.529215323196947</v>
      </c>
      <c r="P7" s="26" t="n">
        <v>0.6744044834965969</v>
      </c>
      <c r="Q7" s="26" t="n">
        <v>1.819427344070092</v>
      </c>
      <c r="R7" s="26" t="n">
        <v>0.4878135517849281</v>
      </c>
      <c r="S7" s="26" t="n">
        <v>6.74892522787447</v>
      </c>
      <c r="T7" s="26" t="n">
        <v>6.87803363595787</v>
      </c>
      <c r="U7" s="26" t="n">
        <v>0.2419365537488006</v>
      </c>
      <c r="V7" s="26" t="n">
        <v>-0.2646448042439293</v>
      </c>
    </row>
    <row r="8">
      <c r="A8" t="inlineStr">
        <is>
          <t>CSCO</t>
        </is>
      </c>
      <c r="B8" s="26" t="inlineStr">
        <is>
          <t>Cisco</t>
        </is>
      </c>
      <c r="C8" s="26" t="inlineStr">
        <is>
          <t>2026-07-25</t>
        </is>
      </c>
      <c r="D8" s="26" t="n">
        <v>442.0822552408517</v>
      </c>
      <c r="E8" s="26" t="n">
        <v>449.0362552408517</v>
      </c>
      <c r="F8" s="26" t="n">
        <v>63.325</v>
      </c>
      <c r="G8" s="26" t="n">
        <v>0.06334383337812589</v>
      </c>
      <c r="H8" s="26" t="n">
        <v>0.645242795104619</v>
      </c>
      <c r="I8" s="26" t="n">
        <v>0.2426845637583892</v>
      </c>
      <c r="J8" s="26" t="n">
        <v>0.2016107382550335</v>
      </c>
      <c r="K8" s="26" t="n">
        <v>0.1510146071851559</v>
      </c>
      <c r="L8" s="26" t="n">
        <v>0.060481642321358</v>
      </c>
      <c r="M8" s="26" t="n"/>
      <c r="N8" s="26" t="n">
        <v>33.32194582353597</v>
      </c>
      <c r="O8" s="26" t="n">
        <v>20.01513625812046</v>
      </c>
      <c r="P8" s="26" t="n">
        <v>6.981164709685776</v>
      </c>
      <c r="Q8" s="26" t="n">
        <v>8.791533364638594</v>
      </c>
      <c r="R8" s="26" t="n">
        <v>7.090979158955416</v>
      </c>
      <c r="S8" s="26" t="n"/>
      <c r="T8" s="26" t="n">
        <v>29.21891301671341</v>
      </c>
      <c r="U8" s="26" t="n">
        <v>5.771752406490362</v>
      </c>
      <c r="V8" s="26" t="n">
        <v>0.0288792410205299</v>
      </c>
    </row>
    <row r="9">
      <c r="A9" t="inlineStr">
        <is>
          <t>ANET</t>
        </is>
      </c>
      <c r="B9" s="26" t="inlineStr">
        <is>
          <t>Arista</t>
        </is>
      </c>
      <c r="C9" s="26" t="inlineStr">
        <is>
          <t>2026-06-30</t>
        </is>
      </c>
      <c r="D9" s="26" t="n">
        <v>251.7278228755774</v>
      </c>
      <c r="E9" s="26" t="n">
        <v>238.3845228755774</v>
      </c>
      <c r="F9" s="26" t="n">
        <v>10.5408</v>
      </c>
      <c r="G9" s="26" t="n">
        <v>0.2755533047192462</v>
      </c>
      <c r="H9" s="26" t="n">
        <v>0.630037568306011</v>
      </c>
      <c r="I9" s="26" t="n">
        <v>0.4313619459623558</v>
      </c>
      <c r="J9" s="26" t="n"/>
      <c r="K9" s="26" t="n">
        <v>0.1296201426836672</v>
      </c>
      <c r="L9" s="26" t="n">
        <v>0.0476529295689131</v>
      </c>
      <c r="M9" s="26" t="n">
        <v>-2.875959134408139</v>
      </c>
      <c r="N9" s="26" t="n">
        <v>62.23800199663191</v>
      </c>
      <c r="O9" s="26" t="n">
        <v>38.67813303500792</v>
      </c>
      <c r="P9" s="26" t="n">
        <v>23.88128252842075</v>
      </c>
      <c r="Q9" s="26" t="n">
        <v>17.01128032569774</v>
      </c>
      <c r="R9" s="26" t="n">
        <v>22.61541086782573</v>
      </c>
      <c r="S9" s="26" t="n">
        <v>51.38040410284884</v>
      </c>
      <c r="T9" s="26" t="n">
        <v>52.42792295312794</v>
      </c>
      <c r="U9" s="26" t="n">
        <v>14.75506180565553</v>
      </c>
      <c r="V9" s="26" t="n"/>
    </row>
    <row r="10">
      <c r="A10" t="inlineStr">
        <is>
          <t>NTAP</t>
        </is>
      </c>
      <c r="B10" s="26" t="inlineStr">
        <is>
          <t>NetApp</t>
        </is>
      </c>
      <c r="C10" s="26" t="inlineStr">
        <is>
          <t>2026-07-31</t>
        </is>
      </c>
      <c r="D10" s="26" t="n">
        <v>39.1423790766307</v>
      </c>
      <c r="E10" s="26" t="n">
        <v>38.05437907663071</v>
      </c>
      <c r="F10" s="26" t="n">
        <v>7.391</v>
      </c>
      <c r="G10" s="26" t="n">
        <v>0.0534136342927755</v>
      </c>
      <c r="H10" s="26" t="n">
        <v>0.7062643755919361</v>
      </c>
      <c r="I10" s="26" t="n">
        <v>0.2501691246110133</v>
      </c>
      <c r="J10" s="26" t="n">
        <v>0.2232444865376809</v>
      </c>
      <c r="K10" s="26" t="n">
        <v>0.1384115816533622</v>
      </c>
      <c r="L10" s="26" t="n">
        <v>0.0537139764578541</v>
      </c>
      <c r="M10" s="26" t="n">
        <v>-0.5356967011324471</v>
      </c>
      <c r="N10" s="26" t="n">
        <v>27.60393446870995</v>
      </c>
      <c r="O10" s="26" t="n">
        <v>18.04144233576356</v>
      </c>
      <c r="P10" s="26" t="n">
        <v>5.295951708379206</v>
      </c>
      <c r="Q10" s="26" t="n">
        <v>26.18219336229478</v>
      </c>
      <c r="R10" s="26" t="n">
        <v>5.148745646953147</v>
      </c>
      <c r="S10" s="26" t="n">
        <v>18.73676960937012</v>
      </c>
      <c r="T10" s="26" t="n">
        <v>20.58105953306149</v>
      </c>
      <c r="U10" s="26" t="n">
        <v>4.416428121783391</v>
      </c>
      <c r="V10" s="26" t="n">
        <v>0.0421537995115147</v>
      </c>
    </row>
    <row r="11">
      <c r="A11" t="inlineStr">
        <is>
          <t>P</t>
        </is>
      </c>
      <c r="B11" s="26" t="inlineStr">
        <is>
          <t>Everpure (ex-Pure Storage)</t>
        </is>
      </c>
      <c r="C11" s="26" t="inlineStr">
        <is>
          <t>2026-08-02</t>
        </is>
      </c>
      <c r="D11" s="26" t="n">
        <v>32.71625160487289</v>
      </c>
      <c r="E11" s="26" t="n">
        <v>31.39718160487289</v>
      </c>
      <c r="F11" s="26" t="n">
        <v>4.262149999999999</v>
      </c>
      <c r="G11" s="26" t="n">
        <v>0.2146500096740411</v>
      </c>
      <c r="H11" s="26" t="n">
        <v>0.6973438288187888</v>
      </c>
      <c r="I11" s="26" t="n">
        <v>0.0526049059746841</v>
      </c>
      <c r="J11" s="26" t="n">
        <v>0.0300714428164189</v>
      </c>
      <c r="K11" s="26" t="n">
        <v>0.2469096582710604</v>
      </c>
      <c r="L11" s="26" t="n">
        <v>0.1290107105568786</v>
      </c>
      <c r="M11" s="26" t="n">
        <v>-3.490434230372311</v>
      </c>
      <c r="N11" s="26" t="n">
        <v>129.1677422858554</v>
      </c>
      <c r="O11" s="26" t="n">
        <v>27.70660022835109</v>
      </c>
      <c r="P11" s="26" t="n">
        <v>7.675997232587519</v>
      </c>
      <c r="Q11" s="26" t="n">
        <v>21.23276529062296</v>
      </c>
      <c r="R11" s="26" t="n">
        <v>7.366512582821556</v>
      </c>
      <c r="S11" s="26" t="n">
        <v>83.08110821325948</v>
      </c>
      <c r="T11" s="26" t="n">
        <v>140.0347067698715</v>
      </c>
      <c r="U11" s="26" t="n">
        <v>5.115674713505607</v>
      </c>
      <c r="V11" s="26" t="n">
        <v>0.0039175942754062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Dilution — basic to fully diluted shares</t>
        </is>
      </c>
    </row>
    <row r="2">
      <c r="A2" s="2" t="inlineStr">
        <is>
          <t>capital_structure.py</t>
        </is>
      </c>
    </row>
    <row r="4">
      <c r="A4" s="3" t="inlineStr"/>
      <c r="B4" s="4" t="inlineStr">
        <is>
          <t>shares_m</t>
        </is>
      </c>
      <c r="C4" s="4" t="inlineStr">
        <is>
          <t>basis</t>
        </is>
      </c>
      <c r="D4" s="4" t="inlineStr">
        <is>
          <t>status</t>
        </is>
      </c>
      <c r="E4" s="4" t="inlineStr">
        <is>
          <t>pct_of_basic</t>
        </is>
      </c>
    </row>
    <row r="5">
      <c r="A5" t="inlineStr">
        <is>
          <t>Common shares outstanding (31-Jul-2026)</t>
        </is>
      </c>
      <c r="B5" s="26" t="n">
        <v>1328</v>
      </c>
      <c r="C5" s="26" t="inlineStr">
        <is>
          <t>Q3 FY26 balance sheet</t>
        </is>
      </c>
      <c r="D5" s="26" t="inlineStr">
        <is>
          <t>Reported</t>
        </is>
      </c>
      <c r="E5" s="26" t="n">
        <v>1</v>
      </c>
    </row>
    <row r="6">
      <c r="A6" t="inlineStr">
        <is>
          <t>RSUs / PRSUs (treasury-stock method)</t>
        </is>
      </c>
      <c r="B6" s="26" t="n">
        <v>37</v>
      </c>
      <c r="C6" s="26" t="inlineStr">
        <is>
          <t>Q3 FY26 diluted EPS; 75.4m RSUs outstanding at FY25 end</t>
        </is>
      </c>
      <c r="D6" s="26" t="inlineStr">
        <is>
          <t>Reported</t>
        </is>
      </c>
      <c r="E6" s="26" t="n">
        <v>0.0278614457831325</v>
      </c>
    </row>
    <row r="7">
      <c r="A7" t="inlineStr">
        <is>
          <t>7.625% Series C mandatory convertible preferred (as converted)</t>
        </is>
      </c>
      <c r="B7" s="26" t="n">
        <v>76.056</v>
      </c>
      <c r="C7" s="26" t="inlineStr">
        <is>
          <t>30.0m pref × 2.5352 (min. rate applies above $19.72)</t>
        </is>
      </c>
      <c r="D7" s="26" t="inlineStr">
        <is>
          <t>Calculated</t>
        </is>
      </c>
      <c r="E7" s="26" t="n">
        <v>0.0572710843373494</v>
      </c>
    </row>
    <row r="8">
      <c r="A8" t="inlineStr">
        <is>
          <t>Oracle warrant (max., milestone-vesting)</t>
        </is>
      </c>
      <c r="B8" s="26" t="n">
        <v>4.156466</v>
      </c>
      <c r="C8" s="26" t="inlineStr">
        <is>
          <t>Q3 FY26 10-Q; $0.01 exercise price</t>
        </is>
      </c>
      <c r="D8" s="26" t="inlineStr">
        <is>
          <t>Reported (upper bound)</t>
        </is>
      </c>
      <c r="E8" s="26" t="n">
        <v>0.0031298689759036</v>
      </c>
    </row>
    <row r="9">
      <c r="A9" t="inlineStr">
        <is>
          <t>Employee stock options</t>
        </is>
      </c>
      <c r="B9" s="26" t="n">
        <v>0</v>
      </c>
      <c r="C9" s="26" t="inlineStr">
        <is>
          <t>Not material in reviewed filings</t>
        </is>
      </c>
      <c r="D9" s="26" t="inlineStr">
        <is>
          <t>Data unavailable from the reviewed sources</t>
        </is>
      </c>
      <c r="E9" s="26" t="n">
        <v>0</v>
      </c>
    </row>
    <row r="10">
      <c r="A10" t="inlineStr">
        <is>
          <t>Convertible notes</t>
        </is>
      </c>
      <c r="B10" s="26" t="n">
        <v>0</v>
      </c>
      <c r="C10" s="26" t="inlineStr">
        <is>
          <t>None identified in reviewed filings</t>
        </is>
      </c>
      <c r="D10" s="26" t="inlineStr">
        <is>
          <t>Reported</t>
        </is>
      </c>
      <c r="E10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2026-09-14T19:18:15Z</dcterms:created>
  <dcterms:modified xmlns:dcterms="http://purl.org/dc/terms/" xmlns:xsi="http://www.w3.org/2001/XMLSchema-instance" xsi:type="dcterms:W3CDTF">2026-09-14T19:18:15Z</dcterms:modified>
</cp:coreProperties>
</file>