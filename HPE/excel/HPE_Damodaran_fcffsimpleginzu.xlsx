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11.xml" ContentType="application/vnd.openxmlformats-officedocument.spreadsheetml.comments+xml"/>
  <Override PartName="/xl/comments13.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xl/comments2.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sharedStrings.xml" ContentType="application/vnd.openxmlformats-officedocument.spreadsheetml.sharedStrings+xml"/>
  <Override PartName="/xl/theme/theme1.xml" ContentType="application/vnd.openxmlformats-officedocument.theme+xml"/>
  <Override PartName="/xl/comments8.xml" ContentType="application/vnd.openxmlformats-officedocument.spreadsheetml.comments+xml"/>
  <Override PartName="/xl/comments10.xml" ContentType="application/vnd.openxmlformats-officedocument.spreadsheetml.comment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true"/>
  <workbookProtection/>
  <bookViews>
    <workbookView showHorizontalScroll="true" showVerticalScroll="true" showSheetTabs="true" xWindow="0" yWindow="0" windowWidth="16384" windowHeight="8192" tabRatio="772" firstSheet="0" activeTab="0"/>
  </bookViews>
  <sheets>
    <sheet name="HPE notes" sheetId="1" state="visible" r:id="rId3"/>
    <sheet name="Input sheet" sheetId="2" state="visible" r:id="rId4"/>
    <sheet name="Valuation output" sheetId="3" state="visible" r:id="rId5"/>
    <sheet name="Stories to Numbers" sheetId="4" state="visible" r:id="rId6"/>
    <sheet name="Valuation as picture" sheetId="5" state="visible" r:id="rId7"/>
    <sheet name="Diagnostics" sheetId="6" state="visible" r:id="rId8"/>
    <sheet name="Option value" sheetId="7" state="visible" r:id="rId9"/>
    <sheet name="Synthetic rating" sheetId="8" state="visible" r:id="rId10"/>
    <sheet name="R&amp; D converter" sheetId="9" state="visible" r:id="rId11"/>
    <sheet name="Operating lease converter" sheetId="10" state="visible" r:id="rId12"/>
    <sheet name="Cost of capital worksheet" sheetId="11" state="visible" r:id="rId13"/>
    <sheet name="Failure Rate worksheet" sheetId="12" state="visible" r:id="rId14"/>
    <sheet name="Country equity risk premiums" sheetId="13" state="visible" r:id="rId15"/>
    <sheet name="Industry Averages(US)" sheetId="14" state="visible" r:id="rId16"/>
    <sheet name="Industry Averages (Global)" sheetId="15" state="visible" r:id="rId17"/>
    <sheet name="Input Stat Distributioons" sheetId="16" state="visible" r:id="rId18"/>
    <sheet name="Trailing 12 month Worskheet" sheetId="17" state="visible" r:id="rId19"/>
    <sheet name="Answer keys" sheetId="18" state="visible" r:id="rId20"/>
  </sheet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tc={09E9FA1F-138A-9547-B116-0278E256325D}</author>
    <author>tc={1B0C707C-9FE4-EC47-8991-BFB3094AFE63}</author>
    <author>tc={218968A8-BC08-A64F-9F0E-C67E68AA4DD8}</author>
    <author>tc={2377327B-59EE-3545-8F8A-AE8AED070076}</author>
    <author>tc={23A45B0B-C6F1-6248-99DC-D3FB7F79095D}</author>
    <author>tc={25389A54-C635-ED40-849A-EEB0EC5D59A1}</author>
    <author>tc={2714D861-0A48-5D43-B0B4-66453AEB395D}</author>
    <author>tc={2A62643D-C33C-9A46-A5F0-E66BADC89EAC}</author>
    <author>tc={2C7CA6D9-70A4-454D-A0BD-19CB3A5D02DF}</author>
    <author>tc={2D890560-A4D2-9046-BCC4-FEE8DA2A9099}</author>
    <author>tc={2F9D57EC-A335-6C45-8636-50B8E9391785}</author>
    <author>tc={3402EFD0-3B2F-EB41-AC9A-ADE509BA8833}</author>
    <author>tc={38AE7BD4-BE10-B140-8F0C-6498039783B4}</author>
    <author>tc={3B1FC220-3FE7-E54A-96FA-E03CEFCBFDE2}</author>
    <author>tc={3FA629D8-89D5-E143-B22C-AFE6CD0C8514}</author>
    <author>tc={41BD63FD-2E13-334D-AC8A-F4702E32C3C5}</author>
    <author>tc={486B0BE4-91F5-A947-86B6-995AD147925C}</author>
    <author>tc={48C76159-0827-874B-B96B-C4FD25D34B6A}</author>
    <author>tc={4B2B4743-2757-3E4B-9959-BA2D9ACB4202}</author>
    <author>tc={4EBAB3AE-4130-E345-91F6-F196751794B7}</author>
    <author>tc={4EF0786B-4C78-E749-BA0E-D37E40A13CCA}</author>
    <author>tc={51B4C672-001E-AC42-885D-01422D0EE688}</author>
    <author>tc={52953B18-6ABF-C140-A50D-98AA9E44D651}</author>
    <author>tc={54FBC3F9-EB9F-7C41-8C6D-97F512BA685D}</author>
    <author>tc={594B4E1B-3ACD-0F43-A4CB-A9BE88E089B5}</author>
    <author>tc={5CA1C1D1-F4A5-8446-B5E9-71CD54EF2545}</author>
    <author>tc={635D9BDD-F56D-3A4B-BB73-B545395723F2}</author>
    <author>tc={66B71247-062C-884C-A110-2FA7FC5BB361}</author>
    <author>tc={7036E80F-6A3B-5240-ADB4-827D900C1913}</author>
    <author>tc={70BF85C9-F9B1-4243-88BC-086E5E41286E}</author>
    <author>tc={71F54301-01F9-6142-81B2-70E7EE6CDDF7}</author>
    <author>tc={751B8FE4-9055-B84E-A3C8-0E4DEADB3EA0}</author>
    <author>tc={77A98811-E565-A44B-A04A-39493A90F633}</author>
    <author>tc={7EC7B7C4-E2EF-5C47-9F07-E86FFDCD3214}</author>
    <author>tc={84D307F5-C671-864E-A8B6-E08441B4818E}</author>
    <author>tc={864108E8-64F4-C649-B7F6-27546ED36042}</author>
    <author>tc={997F1F94-CD24-FE40-933F-77DF8B8E547F}</author>
    <author>tc={A59C3A77-9765-B147-B40F-B2F3A4E48AC3}</author>
    <author>tc={AE13966B-AB4E-B34C-AB49-2D7FEA7E9120}</author>
    <author>tc={AEED2D9E-7933-0546-A108-B06B6DBDF425}</author>
    <author>tc={AFFC9966-65E7-7849-A618-5DEF034E694A}</author>
    <author>tc={B1F53202-2F0D-D541-9E18-76005E4E45E4}</author>
    <author>tc={B4FAFBEA-7EF5-9E49-BDDC-74E67266D7B3}</author>
    <author>tc={BACA5868-B98A-F34A-BB35-5BF8D7D47027}</author>
    <author>tc={BC724579-4871-0448-B3E6-EFAC6D77BD38}</author>
    <author>tc={BC8F5940-D88C-FF41-BFB0-C57C664414DF}</author>
    <author>tc={C653EB8A-25F4-464F-BD99-C6B45BEA26C3}</author>
    <author>tc={CA4A0E69-2EC1-064C-82D5-50B182E99825}</author>
    <author>tc={D5616C1A-972E-EA45-89C6-4108E9869A9C}</author>
    <author>tc={DB629F1F-F83F-F647-853F-47BFC31610CD}</author>
    <author>tc={E0152BD4-8763-E340-9F3D-57E83246CD86}</author>
    <author>tc={E2546F12-07E7-8E43-BAF4-4BA7F486E85D}</author>
    <author>tc={E540843E-F2A3-134C-8531-DA60E38A7694}</author>
    <author>tc={E70E7C6A-F80C-1541-B56C-B7B598D70448}</author>
    <author>tc={EEE67F91-B486-C642-BCF8-918B32B4F8EF}</author>
    <author>tc={F6C404B5-0607-B64F-8A31-FA7F51831376}</author>
    <author>tc={FBD5A24E-83BA-4543-B49C-42E85C8B9500}</author>
    <author>tc={FC146819-31BC-CD4B-BB8F-10573BD83B4A}</author>
  </authors>
  <commentList>
    <comment ref="B7" authorId="3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a pull down menu, and you should enter your country of incorporation. You can always add more details on geographic risk exposure in the cost of capital worksheet.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8" authorId="2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Later, in the cost of capital section, you will be able to break the company down into more detail.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9" authorId="4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 are in multiple businesses, make your judgment on the one industry group that it most falls into, and pick that one for this cell. In general, your pick here should match your pick in the cell above. Later, in the cost of capital section, you will be able to break the company down into more detail.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revenues from the most recent twelve months. If your company had no revenues, enter a  small positive number. (You need a base for your growth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12" authorId="4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operating income or EBIT from the most recent 12 months, even if that number is negative. If you have operating leases or R&amp;D and want to adjust for them, use the options below to start the process and enter the numbers in the relevant worksheets.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14" authorId="3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most recent 12 months (i.e. the most recent balance sheet, either from an annual report or quarterly report). This book equity will include everything - paid in capital, retained earnings etc. and may even be negative for companies that have been losing money for a while. If your company has minority or non-controlling interests listed separately, include them in this book equity.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15" authorId="1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most recent balance sheet. If your company is capitalizing leases, and you trust the accounting calculations, include those as well.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16"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 decide to challenge the accountants, and move an expense (like R&amp;D or customer acquisition costs) from operating to capital expenses, enter yes here, but make sure that you go into the R&amp;D worksheet and enter the numbers for your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17" authorId="3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your have lease commitments, and accountants are not treating it as debt, or you don’t trust the accountants, enter yes to this, and make sure you enter your company’s lease commitments into the operating lease converter. (But make sure then that you do not include the accounting lease debt in total debt in the column above, or you will double count)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18" authorId="5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cash and marketable securities in your most recent balance sheet. In most companies, this will show up under current assets, and can either show up as a consolidated item or as sub-items for cash and short term investments.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19" authorId="2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most common non-operating assets are minority holdings in other companies (which are not consolidated). You can find the value of these holdings on the balance sheet, and it can be either in book value terms or marked to market. If it is book value, see if you can convert it to a market value. If it is marked to market, just enter the number on the balance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20" authorId="2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21" authorId="2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22" authorId="1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most recent stock price (how about today's?) in here.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23"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or if you have a money losing company, don't enter zero but enter the marginal tax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24" authorId="3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a statutory tax rate. I use the tax rate of the country the company is domiciled in. See the country equity risk premium worksheet embedded in this spreadsheet for country tax rates.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26" authorId="1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will get you started on your revenue projections. While the bigger input will be the revenue growth rate for years 2-5, two cells down, the estimated growth in year 1 (next 12 months) is offered as a separate input for two reasons. (1) For some companies, you may be able to forecast revenues next year much better than revenues afterwards either because you have management guidance or tangible basis (contracts already in place). (2) For pre-revenue companies, where you had to enter a made-up positive number in your revenues cell, this growth rate will allow you to get a year 1 revenue that is a good starting point for forecasts.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27" authorId="3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Again, I am separating out the operating margin for next year, to allow you to use the superior information you may have for the near term to play out in this estimate.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28" authorId="2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29" authorId="1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the operating margin that you expect your company to move to, over time. For mature companies, it can be close to or equal to the current operating margin. For growth companies (including money-losing), it may the industry average margin or a margin that you estimate given the business characteristics.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30" authorId="2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31" authorId="3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 (If your company has already invested for the growth for the next few years, this number can be set to a high value for the first five years, to reflect the fact that you don’t have to reinvest as much. (Also check the option at the end of the spreadsheet, to allow for a lag between reinvestment and growth)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32" authorId="5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 give you a second chance to input the sales to invested capital to allow for the fact that as companies scale up they might need to reinvest less (or more) to get the same growth.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34" authorId="1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35" authorId="3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Use the cost of capital worksheet to either input directly, calculate from company details on business &amp; geography mix, use an industry average or even a histogram across all companies.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37" authorId="1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your annual report or 10K for whether your companies has employee options still outstanding.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38" authorId="2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your company's annual report or 10K. If it does have options outstanding, enter the total number here (vested and non vested, in the money and out…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39" authorId="5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40" authorId="3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41"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 have a standard deviation for your stock, enter that number. If not, use the US and Global Industry average worksheets in this spreadsheet to look up the industry average standard deviation.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46"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You have three choices. You can move your cost of capital to the industry average or median, over time.
That should on this page, to your right. Second, you can see the market-wide distribution in the cost of capital worksheet to look at the distribution of costs of capital across the market. Third, you can leave it at the current cost of capital by entering your initial cost of capital here.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49" authorId="4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Even if you believe your firm has significant competitive advantages, you should expect the return on capital for a company to come down over time, at least on new projects. If you don’t see long term competitive advantages, you should just leave the cell above at No.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51" authorId="4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your company is money-losing or in decline, and you believe that there is a significant chance it will not survive, enter yes here, and the inputs below. Failure can also be caused by catastrophes or government action.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52" authorId="5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Aswath Damodaran
If you want to look at ways of estimating this probability, try the failure rate worksheet embedded in this spreadsheet.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53"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54" authorId="4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56" authorId="2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default in the spreadsheet is to assume that reinvestment in a year creates growth in the same year. That may work in service businesses or for companies that grow through acquisitions, but in some businesses, there will be a lag between when you invest (in a new factory or R&amp;D) and when you see revenue growth. Enter yes and the following inputs.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57" authorId="4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The default is set to zero (contemporaneous growth, but you can a lag up to three years between investment and growth)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59" authorId="3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 general, it is prudent to assume that your company, no matter how capable it is on the tax management front, will eventually have to pay its marginal tax rate. There are some companies, though, where the low effective tax rate comes from structural factors (revenues from low-tax locales), rather than tax deferral, and you may want to leave the effective tax rate unchanged.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62" authorId="2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the NOL from prior years carried forward into this year. Check the footnotes to your financial statements to see if there are any loss carry forwards.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64"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My advice, in most cases is to leave this as no, and I will leave the current riskfree rate unchanged in perpetuity. If you do feel that interest rates will change over time, and you are inclined to forecast that level (normalized, historical average, etc.), enter yes, and the expected interest rate below.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65"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your forecast for the long-term, default free rate in the currency that you are working with, ten years from now.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67" authorId="3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Leave this  at no,  for the most part, but use yes, if you have a firm that you see declining after year 10 or growing at a rate much lower than the rest of the economy.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68" authorId="5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70" authorId="1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US tax law no longer has the global taxation feature that it used to have prior to 2017. So, no is the better answer. However, it the tax laws revert back to pre-2017 standards, this option will come into play, as companies part their cash outside the US.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71" authorId="1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B72" authorId="4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C10" authorId="5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Aswath Damodaran:
If your last twelve months of data come from a 10K or Annual Report, the last 10K will be the previous year’s 10K or annual report. If your last twelve months are midway through a fiscal year, this will be the previous fiscal year. For example, when valuing Amazon in February 2024, my most recent twelve months happened to be the last fiscal year ended Dec 31, 2023. The last 10K before it would have been the fiscal year ended Dec 31, 2022. However, when I valued Amazon in November 2023, the most recent 12 months would have been through Sept 2023, representing the last quarter of 2022, and the first three quarters of 2023. The most recent 10K (ot annual report) would still have been the 2022 annutal report, but I would have entered 0.75 instead of 1 in the next column.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C11" authorId="4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revenues from the last annual report before your most recent 12 months ended.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C12" authorId="5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operating income or EBIT from the annual report or 10K in the fiscal year prior to your most recent 12 month data.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C14"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book value of equity (total) from the end of the annual report in the fiscal year prior to your most recent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C15" authorId="5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book value of interest bearing debt (short and long term) at your company from the balance sheet of the fiscal year prior to your most recent 12 months of data.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C18" authorId="2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cash balance from the balance sheet of the fiscal year prior to your most recent twelve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D10" authorId="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D11" authorId="1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your most recent 12 months of data represent the most recent fiscal year, and your last 10 before LTM is the previous fiscal year, enter 1.00. If your most recent 12 months of data are midway through a fiscal year, enter the fraction of the most recent fiscal year is in this data, Thus, if your were valuing Amazon in Nov 2023, and using the trailing 12 months of data through September 2023, the 3rd quarter of the 2023 fiscal year, you would enter 0.75. Enter 0.5, if your data is through the second quarter, and 0.25, if is through the first quarter.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J34" authorId="1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Compare to your total market and check your market share.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J35" authorId="4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Determined by your target margin.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 ref="J36" authorId="4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-283</xdr:colOff>
                <xdr:row>3</xdr:row>
                <xdr:rowOff>18</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tc={0773F50D-8F4A-8942-A093-8D85A28A7EFC}</author>
    <author>tc={92B75667-258A-9041-A90E-BA34684C64D8}</author>
    <author>tc={AA550503-3638-E344-A76C-EC9EE16E8E35}</author>
  </authors>
  <commentList>
    <comment ref="F8"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1</xdr:col>
                <xdr:colOff>2</xdr:colOff>
                <xdr:row>0</xdr:row>
                <xdr:rowOff>2</xdr:rowOff>
              </xdr:from>
              <xdr:to>
                <xdr:col>2</xdr:col>
                <xdr:colOff>70</xdr:colOff>
                <xdr:row>3</xdr:row>
                <xdr:rowOff>11</xdr:rowOff>
              </xdr:to>
            </anchor>
          </commentPr>
        </mc:Choice>
        <mc:Fallback/>
      </mc:AlternateContent>
    </comment>
    <comment ref="F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1</xdr:col>
                <xdr:colOff>2</xdr:colOff>
                <xdr:row>0</xdr:row>
                <xdr:rowOff>2</xdr:rowOff>
              </xdr:from>
              <xdr:to>
                <xdr:col>2</xdr:col>
                <xdr:colOff>70</xdr:colOff>
                <xdr:row>3</xdr:row>
                <xdr:rowOff>11</xdr:rowOff>
              </xdr:to>
            </anchor>
          </commentPr>
        </mc:Choice>
        <mc:Fallback/>
      </mc:AlternateContent>
    </comment>
    <comment ref="F10"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 use a 10 year government bond rate.</t>
        </r>
      </text>
      <mc:AlternateContent>
        <mc:Choice Requires="v2">
          <commentPr autoFill="true" autoScale="false" colHidden="false" locked="false" rowHidden="false" textHAlign="justify" textVAlign="top">
            <anchor moveWithCells="false" sizeWithCells="false">
              <xdr:from>
                <xdr:col>1</xdr:col>
                <xdr:colOff>2</xdr:colOff>
                <xdr:row>0</xdr:row>
                <xdr:rowOff>2</xdr:rowOff>
              </xdr:from>
              <xdr:to>
                <xdr:col>2</xdr:col>
                <xdr:colOff>70</xdr:colOff>
                <xdr:row>3</xdr:row>
                <xdr:rowOff>11</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tc={592C6C60-5223-4B45-8A69-B291166B7E7E}</author>
    <author>tc={BC7D716B-CF00-F547-AE72-E2F45BCC1F61}</author>
    <author>tc={ED7E82EC-F310-0248-9E9E-817504C4829B}</author>
  </authors>
  <commentList>
    <comment ref="B10"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R&amp;D expenses from the years before the last 12 months, starting with the last year (-1), the year before that (-2) etc..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xdr:colOff>
                <xdr:row>4</xdr:row>
                <xdr:rowOff>6</xdr:rowOff>
              </xdr:to>
            </anchor>
          </commentPr>
        </mc:Choice>
        <mc:Fallback/>
      </mc:AlternateContent>
    </comment>
    <comment ref="D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xdr:colOff>
                <xdr:row>4</xdr:row>
                <xdr:rowOff>6</xdr:rowOff>
              </xdr:to>
            </anchor>
          </commentPr>
        </mc:Choice>
        <mc:Fallback/>
      </mc:AlternateContent>
    </comment>
    <comment ref="F7"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R&amp;D expense in the most recent 12 months of data.</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28</xdr:colOff>
                <xdr:row>4</xdr:row>
                <xdr:rowOff>6</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tc={088A5D00-F7DB-F641-B5E4-2511B8451119}</author>
    <author>tc={4E9D46C3-9490-AE49-9C1C-FE39D8287CF7}</author>
  </authors>
  <commentList>
    <comment ref="B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expected contractual lease commitments in future years, with a lump=sum after year 5. US companies report these numbers in the footnotes. European companies sometimes report them with years lumped together (Years 1&amp;2, Years 3 through 5). If that is the case, take the annual averages and enter them in these cells.</t>
        </r>
      </text>
      <mc:AlternateContent>
        <mc:Choice Requires="v2">
          <commentPr autoFill="true" autoScale="false" colHidden="false" locked="false" rowHidden="false" textHAlign="justify" textVAlign="top">
            <anchor moveWithCells="false" sizeWithCells="false">
              <xdr:from>
                <xdr:col>1</xdr:col>
                <xdr:colOff>5</xdr:colOff>
                <xdr:row>0</xdr:row>
                <xdr:rowOff>2</xdr:rowOff>
              </xdr:from>
              <xdr:to>
                <xdr:col>3</xdr:col>
                <xdr:colOff>2</xdr:colOff>
                <xdr:row>3</xdr:row>
                <xdr:rowOff>15</xdr:rowOff>
              </xdr:to>
            </anchor>
          </commentPr>
        </mc:Choice>
        <mc:Fallback/>
      </mc:AlternateContent>
    </comment>
    <comment ref="E4"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Enter the operating lease expense in the most recent 12 months.</t>
        </r>
      </text>
      <mc:AlternateContent>
        <mc:Choice Requires="v2">
          <commentPr autoFill="true" autoScale="false" colHidden="false" locked="false" rowHidden="false" textHAlign="justify" textVAlign="top">
            <anchor moveWithCells="false" sizeWithCells="false">
              <xdr:from>
                <xdr:col>1</xdr:col>
                <xdr:colOff>5</xdr:colOff>
                <xdr:row>0</xdr:row>
                <xdr:rowOff>2</xdr:rowOff>
              </xdr:from>
              <xdr:to>
                <xdr:col>3</xdr:col>
                <xdr:colOff>2</xdr:colOff>
                <xdr:row>3</xdr:row>
                <xdr:rowOff>15</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tc={0B49E534-4839-224A-A0D8-3E69E03A9811}</author>
    <author>tc={40F47070-A7F9-764E-BF6F-3CDF01F6763D}</author>
    <author>tc={48141766-7F07-C447-89ED-3E1A81023B2B}</author>
    <author>tc={568DD258-B547-7D4B-8EA5-8936C8A36C7A}</author>
    <author>tc={5A91BFC2-E30D-1B4A-87B9-BB138BF07698}</author>
    <author>tc={99D69372-A294-2A49-8F68-E27D38561195}</author>
    <author>tc={A23E286D-FDA4-E04B-B2B6-8101484E8233}</author>
    <author>tc={CDB18AC1-A933-1F49-84C1-AA536ECAB35B}</author>
    <author>tc={E56104C5-7C66-F848-B455-D4DEB1B906C4}</author>
  </authors>
  <commentList>
    <comment ref="B23"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 input a beta directly, I will unlever that beta using the current debt to equity ratio.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-53</xdr:colOff>
                <xdr:row>4</xdr:row>
                <xdr:rowOff>2</xdr:rowOff>
              </xdr:to>
            </anchor>
          </commentPr>
        </mc:Choice>
        <mc:Fallback/>
      </mc:AlternateContent>
    </comment>
    <comment ref="B25" authorId="8">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-53</xdr:colOff>
                <xdr:row>4</xdr:row>
                <xdr:rowOff>2</xdr:rowOff>
              </xdr:to>
            </anchor>
          </commentPr>
        </mc:Choice>
        <mc:Fallback/>
      </mc:AlternateContent>
    </comment>
    <comment ref="B27"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-53</xdr:colOff>
                <xdr:row>4</xdr:row>
                <xdr:rowOff>2</xdr:rowOff>
              </xdr:to>
            </anchor>
          </commentPr>
        </mc:Choice>
        <mc:Fallback/>
      </mc:AlternateContent>
    </comment>
    <comment ref="B31"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Interest expense (gross) from most recent financial statement.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-53</xdr:colOff>
                <xdr:row>4</xdr:row>
                <xdr:rowOff>2</xdr:rowOff>
              </xdr:to>
            </anchor>
          </commentPr>
        </mc:Choice>
        <mc:Fallback/>
      </mc:AlternateContent>
    </comment>
    <comment ref="B3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Generally found in footnotes to financial statements. If you cannot find it, enter zero,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-53</xdr:colOff>
                <xdr:row>4</xdr:row>
                <xdr:rowOff>2</xdr:rowOff>
              </xdr:to>
            </anchor>
          </commentPr>
        </mc:Choice>
        <mc:Fallback/>
      </mc:AlternateContent>
    </comment>
    <comment ref="B33"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Check to see if your company has a bond rating from S&amp;P or Moodys and if it does, pick actual rating. Otherwise, you will have to use a rating based upon the interest coverage ratio. You can also override this choice, and directly input the pre-tax cost of debt by adding a default spread to your riskfree rate.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-53</xdr:colOff>
                <xdr:row>4</xdr:row>
                <xdr:rowOff>2</xdr:rowOff>
              </xdr:to>
            </anchor>
          </commentPr>
        </mc:Choice>
        <mc:Fallback/>
      </mc:AlternateContent>
    </comment>
    <comment ref="B35"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If you cannot find your rating on this pulldown menu, pick the closest one you can find.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-53</xdr:colOff>
                <xdr:row>4</xdr:row>
                <xdr:rowOff>2</xdr:rowOff>
              </xdr:to>
            </anchor>
          </commentPr>
        </mc:Choice>
        <mc:Fallback/>
      </mc:AlternateContent>
    </comment>
    <comment ref="B36" authorId="7">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input is used only when you pick the synthetic rating option.
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-53</xdr:colOff>
                <xdr:row>4</xdr:row>
                <xdr:rowOff>2</xdr:rowOff>
              </xdr:to>
            </anchor>
          </commentPr>
        </mc:Choice>
        <mc:Fallback/>
      </mc:AlternateContent>
    </comment>
    <comment ref="B37"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-53</xdr:colOff>
                <xdr:row>4</xdr:row>
                <xdr:rowOff>2</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tc={C3B82CD1-0285-F746-B2B0-DC065BFFA19E}</author>
  </authors>
  <commentList>
    <comment ref="B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This is the estimate for the ERP for a mature market, that then updates all of the ERP for other countries by adding the CRP to it. I update the ERP for the S&amp;P 500 at the start of every month on my website (damodaran.com) and if you want, you can change this number to the most recent update.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34</xdr:colOff>
                <xdr:row>4</xdr:row>
                <xdr:rowOff>8</xdr:rowOff>
              </xdr:to>
            </anchor>
          </commentPr>
        </mc:Choice>
        <mc:Fallback/>
      </mc:AlternateContent>
    </comment>
  </commentList>
</comments>
</file>

<file path=xl/sharedStrings.xml><?xml version="1.0" encoding="utf-8"?>
<sst xmlns="http://schemas.openxmlformats.org/spreadsheetml/2006/main" count="2066" uniqueCount="1201">
  <si>
    <t xml:space="preserve">HPE — how this Damodaran FCFF Ginzu was completed</t>
  </si>
  <si>
    <t xml:space="preserve">Bona Fide Student Investment Society · valuation date 2026-09-11 · template: pages.stern.nyu.edu/~adamodar (fcffsimpleginzu.xlsx)</t>
  </si>
  <si>
    <t xml:space="preserve">Result</t>
  </si>
  <si>
    <t xml:space="preserve">Damodaran Ginzu</t>
  </si>
  <si>
    <t xml:space="preserve">Bona Fide DCF</t>
  </si>
  <si>
    <t xml:space="preserve">Why they differ</t>
  </si>
  <si>
    <t xml:space="preserve">Unlevered beta</t>
  </si>
  <si>
    <t xml:space="preserve">Ginzu weights industry betas by estimated value (EV/Sales × revenue); Bona Fide weights by segment profit</t>
  </si>
  <si>
    <t xml:space="preserve">Levered beta</t>
  </si>
  <si>
    <t xml:space="preserve">Ginzu relevers at market value of debt (maturity-adjusted) vs book debt in the Bona Fide build</t>
  </si>
  <si>
    <t xml:space="preserve">Equity risk premium</t>
  </si>
  <si>
    <t xml:space="preserve">Ginzu: Damodaran Jan-2026 regional ERPs (mature 4.23% + country risk) weighted by HPE revenue; Bona Fide: US implied ERP 3.97%</t>
  </si>
  <si>
    <t xml:space="preserve">Cost of equity</t>
  </si>
  <si>
    <t xml:space="preserve">Pre-tax cost of debt</t>
  </si>
  <si>
    <t xml:space="preserve">Both: risk-free + Baa2/BBB spread 1.11%</t>
  </si>
  <si>
    <t xml:space="preserve">Cost of capital</t>
  </si>
  <si>
    <t xml:space="preserve">Mostly the higher, geographically weighted ERP</t>
  </si>
  <si>
    <t xml:space="preserve">Value per share ($)</t>
  </si>
  <si>
    <t xml:space="preserve">Ginzu also moves tax to the 21% marginal rate after year 5 and uses Damodaran's reinvestment and terminal ROIC conventions</t>
  </si>
  <si>
    <t xml:space="preserve">Share price ($)</t>
  </si>
  <si>
    <t xml:space="preserve">11-Sep-2026 close</t>
  </si>
  <si>
    <t xml:space="preserve">Every input changed from the template</t>
  </si>
  <si>
    <t xml:space="preserve">Sheet</t>
  </si>
  <si>
    <t xml:space="preserve">Cell</t>
  </si>
  <si>
    <t xml:space="preserve">Value</t>
  </si>
  <si>
    <t xml:space="preserve">Source / rationale</t>
  </si>
  <si>
    <t xml:space="preserve">Input sheet</t>
  </si>
  <si>
    <t xml:space="preserve">B3</t>
  </si>
  <si>
    <t xml:space="preserve">2026-09-11</t>
  </si>
  <si>
    <t xml:space="preserve">Valuation date: 11-Sep-2026 close</t>
  </si>
  <si>
    <t xml:space="preserve">B4</t>
  </si>
  <si>
    <t xml:space="preserve">Hewlett Packard Enterprise</t>
  </si>
  <si>
    <t xml:space="preserve">Company</t>
  </si>
  <si>
    <t xml:space="preserve">B7</t>
  </si>
  <si>
    <t xml:space="preserve">United States</t>
  </si>
  <si>
    <t xml:space="preserve">Country of incorporation (10-K)</t>
  </si>
  <si>
    <t xml:space="preserve">B8</t>
  </si>
  <si>
    <t xml:space="preserve">Computers/Peripherals</t>
  </si>
  <si>
    <t xml:space="preserve">Primary US industry (Damodaran classification)</t>
  </si>
  <si>
    <t xml:space="preserve">B9</t>
  </si>
  <si>
    <t xml:space="preserve">Primary global industry</t>
  </si>
  <si>
    <t xml:space="preserve">B11</t>
  </si>
  <si>
    <t xml:space="preserve">TTM revenue to 31-Jul-2026 = FY25 + 9M FY26 − 9M FY25 (10-K, 10-Q)</t>
  </si>
  <si>
    <t xml:space="preserve">C11</t>
  </si>
  <si>
    <t xml:space="preserve">FY2025 revenue (10-K)</t>
  </si>
  <si>
    <t xml:space="preserve">D11</t>
  </si>
  <si>
    <t xml:space="preserve">Years since last 10-K (31-Oct-2025 → 31-Jul-2026)</t>
  </si>
  <si>
    <t xml:space="preserve">B12</t>
  </si>
  <si>
    <t xml:space="preserve">TTM EBIT = company non-GAAP operating profit less SBC (SBC treated as an expense)</t>
  </si>
  <si>
    <t xml:space="preserve">C12</t>
  </si>
  <si>
    <t xml:space="preserve">FY2025 non-GAAP operating profit less SBC</t>
  </si>
  <si>
    <t xml:space="preserve">B13</t>
  </si>
  <si>
    <t xml:space="preserve">Interest expense: FY2025 cash interest paid (10-K cash-flow supplement); no quarterly split disclosed</t>
  </si>
  <si>
    <t xml:space="preserve">C13</t>
  </si>
  <si>
    <t xml:space="preserve">Same as above</t>
  </si>
  <si>
    <t xml:space="preserve">B14</t>
  </si>
  <si>
    <t xml:space="preserve">Book equity 31-Jul-2026 (Q3 FY26 balance sheet)</t>
  </si>
  <si>
    <t xml:space="preserve">C14</t>
  </si>
  <si>
    <t xml:space="preserve">Book equity 31-Oct-2025</t>
  </si>
  <si>
    <t xml:space="preserve">B15</t>
  </si>
  <si>
    <t xml:space="preserve">Gross debt 31-Jul-2026 incl. Financial Services debt</t>
  </si>
  <si>
    <t xml:space="preserve">C15</t>
  </si>
  <si>
    <t xml:space="preserve">Gross debt 31-Oct-2025</t>
  </si>
  <si>
    <t xml:space="preserve">B16</t>
  </si>
  <si>
    <t xml:space="preserve">No</t>
  </si>
  <si>
    <t xml:space="preserve">R&amp;D not capitalised (HPE R&amp;D is ~7–9% of revenue and recurring)</t>
  </si>
  <si>
    <t xml:space="preserve">B17</t>
  </si>
  <si>
    <t xml:space="preserve">Leases already on balance sheet under ASC 842; not re-capitalised</t>
  </si>
  <si>
    <t xml:space="preserve">B18</t>
  </si>
  <si>
    <t xml:space="preserve">Cash and equivalents 31-Jul-2026</t>
  </si>
  <si>
    <t xml:space="preserve">C18</t>
  </si>
  <si>
    <t xml:space="preserve">Cash and equivalents 31-Oct-2025</t>
  </si>
  <si>
    <t xml:space="preserve">B19</t>
  </si>
  <si>
    <t xml:space="preserve">No cross-holdings: remaining H3C stake sold May-2026</t>
  </si>
  <si>
    <t xml:space="preserve">C19</t>
  </si>
  <si>
    <t xml:space="preserve">Equity-method investments 31-Oct-2025 (H3C)</t>
  </si>
  <si>
    <t xml:space="preserve">B20</t>
  </si>
  <si>
    <t xml:space="preserve">Non-controlling interests 31-Jul-2026</t>
  </si>
  <si>
    <t xml:space="preserve">C20</t>
  </si>
  <si>
    <t xml:space="preserve">Non-controlling interests 31-Oct-2025</t>
  </si>
  <si>
    <t xml:space="preserve">B21</t>
  </si>
  <si>
    <t xml:space="preserve">Fully diluted shares: basic 1,328m + RSUs 37m + preferred as converted 76.1m + Oracle warrant 4.2m</t>
  </si>
  <si>
    <t xml:space="preserve">B22</t>
  </si>
  <si>
    <t xml:space="preserve">Share price, 11-Sep-2026 close</t>
  </si>
  <si>
    <t xml:space="preserve">B23</t>
  </si>
  <si>
    <t xml:space="preserve">Effective tax rate: HPE structural non-GAAP rate 14% plus cash-tax leakage (Bona Fide assumption)</t>
  </si>
  <si>
    <t xml:space="preserve">B24</t>
  </si>
  <si>
    <t xml:space="preserve">US federal marginal tax rate</t>
  </si>
  <si>
    <t xml:space="preserve">B26</t>
  </si>
  <si>
    <t xml:space="preserve">Next-12-month revenue growth: Q4 FY26E ($14.3bn) + ¾ of FY27E ($53.5bn) ≈ $54.4bn vs TTM $41.9bn</t>
  </si>
  <si>
    <t xml:space="preserve">B27</t>
  </si>
  <si>
    <t xml:space="preserve">Next-year operating margin: FY27 framework 14–15% non-GAAP less SBC ~1.8%</t>
  </si>
  <si>
    <t xml:space="preserve">B28</t>
  </si>
  <si>
    <t xml:space="preserve">Revenue CAGR years 2–5: fade toward IDC/Gartner-consistent mid-single digits (base case)</t>
  </si>
  <si>
    <t xml:space="preserve">B29</t>
  </si>
  <si>
    <t xml:space="preserve">Target pre-tax operating margin: base-case 12.5% non-GAAP less 1.8% SBC</t>
  </si>
  <si>
    <t xml:space="preserve">B30</t>
  </si>
  <si>
    <t xml:space="preserve">Years to converge to target margin</t>
  </si>
  <si>
    <t xml:space="preserve">B31</t>
  </si>
  <si>
    <t xml:space="preserve">Sales-to-capital years 1–5: consistent with Bona Fide DCF reinvestment (NWC 6% of Δrevenue, capex ≈ depreciation)</t>
  </si>
  <si>
    <t xml:space="preserve">B32</t>
  </si>
  <si>
    <t xml:space="preserve">Sales-to-capital years 6–10</t>
  </si>
  <si>
    <t xml:space="preserve">B34</t>
  </si>
  <si>
    <t xml:space="preserve">Risk-free rate: 10-year US Treasury (FRED DGS10)</t>
  </si>
  <si>
    <t xml:space="preserve">B35</t>
  </si>
  <si>
    <t xml:space="preserve">Initial cost of capital linked to the detailed cost of capital worksheet</t>
  </si>
  <si>
    <t xml:space="preserve">B37</t>
  </si>
  <si>
    <t xml:space="preserve">Employee options: RSUs are included in the diluted share count instead</t>
  </si>
  <si>
    <t xml:space="preserve">B67</t>
  </si>
  <si>
    <t xml:space="preserve">Yes</t>
  </si>
  <si>
    <t xml:space="preserve">Override perpetual growth (default would equal the 4.95% risk-free rate)</t>
  </si>
  <si>
    <t xml:space="preserve">B68</t>
  </si>
  <si>
    <t xml:space="preserve">Perpetual growth 2.75%: Bona Fide base case</t>
  </si>
  <si>
    <t xml:space="preserve">Cost of capital worksheet</t>
  </si>
  <si>
    <t xml:space="preserve">Detailed</t>
  </si>
  <si>
    <t xml:space="preserve">Approach 1: detailed cost of capital</t>
  </si>
  <si>
    <t xml:space="preserve">Multibusiness(US)</t>
  </si>
  <si>
    <t xml:space="preserve">Beta from Damodaran US industry averages, weighted by estimated business value (EV/Sales × revenue)</t>
  </si>
  <si>
    <t xml:space="preserve">G36</t>
  </si>
  <si>
    <t xml:space="preserve">Cloud &amp; AI (servers, storage, Financial Services) + Corporate Investments</t>
  </si>
  <si>
    <t xml:space="preserve">H36</t>
  </si>
  <si>
    <t xml:space="preserve">TTM revenue, Cloud &amp; AI + Corporate Investments &amp; Other (segment data)</t>
  </si>
  <si>
    <t xml:space="preserve">G37</t>
  </si>
  <si>
    <t xml:space="preserve">Telecom. Equipment</t>
  </si>
  <si>
    <t xml:space="preserve">Networking (HPE Aruba + Juniper)</t>
  </si>
  <si>
    <t xml:space="preserve">H37</t>
  </si>
  <si>
    <t xml:space="preserve">TTM Networking revenue (segment data)</t>
  </si>
  <si>
    <t xml:space="preserve">B25</t>
  </si>
  <si>
    <t xml:space="preserve">Operating regions</t>
  </si>
  <si>
    <t xml:space="preserve">ERP weighted by HPE's FY2025 revenue by region (10-K geographic note)</t>
  </si>
  <si>
    <t xml:space="preserve">H21</t>
  </si>
  <si>
    <t xml:space="preserve">Africa: no HPE revenue mapped</t>
  </si>
  <si>
    <t xml:space="preserve">H22</t>
  </si>
  <si>
    <t xml:space="preserve">Asia: Asia Pacific &amp; Japan $6,938m (includes Japan/Australia — assumption)</t>
  </si>
  <si>
    <t xml:space="preserve">H23</t>
  </si>
  <si>
    <t xml:space="preserve">Australia &amp; New Zealand: no HPE revenue mapped</t>
  </si>
  <si>
    <t xml:space="preserve">H24</t>
  </si>
  <si>
    <t xml:space="preserve">Caribbean: no HPE revenue mapped</t>
  </si>
  <si>
    <t xml:space="preserve">H25</t>
  </si>
  <si>
    <t xml:space="preserve">Central and South America: Americas excl. US $2,446m (includes Canada; mapped here — assumption, slightly raises ERP)</t>
  </si>
  <si>
    <t xml:space="preserve">H26</t>
  </si>
  <si>
    <t xml:space="preserve">Eastern Europe: no HPE revenue mapped</t>
  </si>
  <si>
    <t xml:space="preserve">H27</t>
  </si>
  <si>
    <t xml:space="preserve">Middle East: no HPE revenue mapped</t>
  </si>
  <si>
    <t xml:space="preserve">H28</t>
  </si>
  <si>
    <t xml:space="preserve">North America: US revenue $13,402m</t>
  </si>
  <si>
    <t xml:space="preserve">H29</t>
  </si>
  <si>
    <t xml:space="preserve">Western Europe: EMEA $11,510m mapped to Western Europe (assumption: EMEA revenue is predominantly Western European)</t>
  </si>
  <si>
    <t xml:space="preserve">Average debt maturity ≈ 5 years: face-weighted FY2025 10-K maturity ladder (thereafter bucket at ~10 years)</t>
  </si>
  <si>
    <t xml:space="preserve">B33</t>
  </si>
  <si>
    <t xml:space="preserve">Actual rating</t>
  </si>
  <si>
    <t xml:space="preserve">Pre-tax cost of debt = risk-free + rating spread</t>
  </si>
  <si>
    <t xml:space="preserve">Baa2/BBB</t>
  </si>
  <si>
    <t xml:space="preserve">S&amp;P BBB (stable, affirmed Jul-2025); spread 1.11% from the sheet's rating table</t>
  </si>
  <si>
    <t xml:space="preserve">B40</t>
  </si>
  <si>
    <t xml:space="preserve">No convertible debt outstanding</t>
  </si>
  <si>
    <t xml:space="preserve">B41</t>
  </si>
  <si>
    <t xml:space="preserve">B42</t>
  </si>
  <si>
    <t xml:space="preserve">B43</t>
  </si>
  <si>
    <t xml:space="preserve">B48</t>
  </si>
  <si>
    <t xml:space="preserve">Series C mandatory convertible preferred counted as converted in the share count, so excluded here to avoid double counting</t>
  </si>
  <si>
    <t xml:space="preserve">B49</t>
  </si>
  <si>
    <t xml:space="preserve">Preferred liquidation preference $50 (for reference only)</t>
  </si>
  <si>
    <t xml:space="preserve">B50</t>
  </si>
  <si>
    <t xml:space="preserve">Preferred annual dividend 7.625% × $50 (for reference only)</t>
  </si>
  <si>
    <t xml:space="preserve">Trailing 12 month Worskheet</t>
  </si>
  <si>
    <t xml:space="preserve">Revenues: FY2025 (10-K)</t>
  </si>
  <si>
    <t xml:space="preserve">C7</t>
  </si>
  <si>
    <t xml:space="preserve">Revenues: 9M FY2025 (Q3 FY26 earnings release)</t>
  </si>
  <si>
    <t xml:space="preserve">D7</t>
  </si>
  <si>
    <t xml:space="preserve">Revenues: 9M FY2026 (Q3 FY26 earnings release)</t>
  </si>
  <si>
    <t xml:space="preserve">Research and development: FY2025 (10-K)</t>
  </si>
  <si>
    <t xml:space="preserve">C8</t>
  </si>
  <si>
    <t xml:space="preserve">Research and development: 9M FY2025 (Q3 FY26 earnings release)</t>
  </si>
  <si>
    <t xml:space="preserve">D8</t>
  </si>
  <si>
    <t xml:space="preserve">Research and development: 9M FY2026 (Q3 FY26 earnings release)</t>
  </si>
  <si>
    <t xml:space="preserve">Operating income or EBIT (non-GAAP less SBC): FY2025 (10-K)</t>
  </si>
  <si>
    <t xml:space="preserve">C9</t>
  </si>
  <si>
    <t xml:space="preserve">Operating income or EBIT (non-GAAP less SBC): 9M FY2025 (Q3 FY26 earnings release)</t>
  </si>
  <si>
    <t xml:space="preserve">D9</t>
  </si>
  <si>
    <t xml:space="preserve">Operating income or EBIT (non-GAAP less SBC): 9M FY2026 (Q3 FY26 earnings release)</t>
  </si>
  <si>
    <t xml:space="preserve">B10</t>
  </si>
  <si>
    <t xml:space="preserve">Interest expenses (FY25 cash interest; 9M not disclosed): FY2025 (10-K)</t>
  </si>
  <si>
    <t xml:space="preserve">C10</t>
  </si>
  <si>
    <t xml:space="preserve">Interest expenses (FY25 cash interest; 9M not disclosed): 9M FY2025 (Q3 FY26 earnings release)</t>
  </si>
  <si>
    <t xml:space="preserve">D10</t>
  </si>
  <si>
    <t xml:space="preserve">Interest expenses (FY25 cash interest; 9M not disclosed): 9M FY2026 (Q3 FY26 earnings release)</t>
  </si>
  <si>
    <t xml:space="preserve">Book value of equity: 31-Oct-2025</t>
  </si>
  <si>
    <t xml:space="preserve">Book value of equity: 31-Jul-2026</t>
  </si>
  <si>
    <t xml:space="preserve">Book value of debt: 31-Oct-2025</t>
  </si>
  <si>
    <t xml:space="preserve">D12</t>
  </si>
  <si>
    <t xml:space="preserve">Book value of debt: 31-Jul-2026</t>
  </si>
  <si>
    <t xml:space="preserve">Cash and cross holdings: 31-Oct-2025</t>
  </si>
  <si>
    <t xml:space="preserve">D14</t>
  </si>
  <si>
    <t xml:space="preserve">Cash and cross holdings: 31-Jul-2026</t>
  </si>
  <si>
    <t xml:space="preserve">Non-operating assets: 31-Oct-2025</t>
  </si>
  <si>
    <t xml:space="preserve">D15</t>
  </si>
  <si>
    <t xml:space="preserve">Non-operating assets: 31-Jul-2026</t>
  </si>
  <si>
    <t xml:space="preserve">Minority interests: 31-Oct-2025</t>
  </si>
  <si>
    <t xml:space="preserve">D16</t>
  </si>
  <si>
    <t xml:space="preserve">Minority interests: 31-Jul-2026</t>
  </si>
  <si>
    <t xml:space="preserve">Operating leases already capitalised under ASC 842</t>
  </si>
  <si>
    <t xml:space="preserve">D17</t>
  </si>
  <si>
    <t xml:space="preserve">Fully diluted shares (m)</t>
  </si>
  <si>
    <t xml:space="preserve">D18</t>
  </si>
  <si>
    <t xml:space="preserve">Share price 11-Sep-2026</t>
  </si>
  <si>
    <t xml:space="preserve">FY2025 structural non-GAAP tax rate (GAAP rate distorted by impairments)</t>
  </si>
  <si>
    <t xml:space="preserve">9M FY2025 structural non-GAAP tax rate</t>
  </si>
  <si>
    <t xml:space="preserve">D19</t>
  </si>
  <si>
    <t xml:space="preserve">9M FY2026 structural non-GAAP tax rate</t>
  </si>
  <si>
    <t xml:space="preserve">US marginal tax rate</t>
  </si>
  <si>
    <t xml:space="preserve">Stories to Numbers</t>
  </si>
  <si>
    <t xml:space="preserve">A2</t>
  </si>
  <si>
    <t xml:space="preserve">From server vendor to networking-led AI infrastructure</t>
  </si>
  <si>
    <t xml:space="preserve">Story headline (Bona Fide base case)</t>
  </si>
  <si>
    <t xml:space="preserve">A3</t>
  </si>
  <si>
    <t xml:space="preserve">HPE converts the AI build-out and the Juniper acquisition into a larger, more networking-heavy company. Revenue rises about 30% over the next twelve months as a record $7.6bn AI backlog converts and FY27 grows 13–17%, then slows to mid-single digits as the cycle matures. Operating margin after stock-based compensation settles near 10.7% because lower-margin AI systems and normalising memory prices offset the richer networking mix. Reinvestment stays modest, and risk converges to that of a mature technology-hardware company.</t>
  </si>
  <si>
    <t xml:space="preserve">Story narrative</t>
  </si>
  <si>
    <t xml:space="preserve">G9</t>
  </si>
  <si>
    <t xml:space="preserve">AI backlog conversion, then mid-single-digit growth</t>
  </si>
  <si>
    <t xml:space="preserve">Link to story</t>
  </si>
  <si>
    <t xml:space="preserve">G10</t>
  </si>
  <si>
    <t xml:space="preserve">Networking mix vs AI systems and memory normalisation</t>
  </si>
  <si>
    <t xml:space="preserve">G11</t>
  </si>
  <si>
    <t xml:space="preserve">Structural 14–17% rate converging to US marginal</t>
  </si>
  <si>
    <t xml:space="preserve">G12</t>
  </si>
  <si>
    <t xml:space="preserve">Low capital intensity outside Financial Services</t>
  </si>
  <si>
    <t xml:space="preserve">G13</t>
  </si>
  <si>
    <t xml:space="preserve">Returns near the cost of capital: narrow moat in networking only</t>
  </si>
  <si>
    <t xml:space="preserve">G14</t>
  </si>
  <si>
    <t xml:space="preserve">Mature hardware risk profile</t>
  </si>
  <si>
    <t xml:space="preserve">Mechanics: values entered with openpyxl, then recalculated and saved by LibreOffice (headless) so every formula carries a cached value.</t>
  </si>
  <si>
    <t xml:space="preserve">The template's in-cell dropdown lists (Excel data-validation extensions) are not preserved by openpyxl; the entered text values match the dropdown options exactly.</t>
  </si>
  <si>
    <t xml:space="preserve">Iterative calculation is enabled, as Damodaran's instructions require.</t>
  </si>
  <si>
    <t xml:space="preserve">Assumptions that are Bona Fide judgements (not disclosures) are marked 'assumption' above.</t>
  </si>
  <si>
    <t xml:space="preserve">Input cell</t>
  </si>
  <si>
    <t xml:space="preserve">Calculated cell</t>
  </si>
  <si>
    <t xml:space="preserve">Date of valuation</t>
  </si>
  <si>
    <t xml:space="preserve">Important: Before you run this spreadsheet, go into preferences in Excel and check under Calculation options</t>
  </si>
  <si>
    <t xml:space="preserve">Company name</t>
  </si>
  <si>
    <t xml:space="preserve">There should be a check against the iteration box. If there is not, you will get circular reasoning errors.</t>
  </si>
  <si>
    <t xml:space="preserve">Numbers from your base year below ( in consistent units, i.e., if you enter numbers in millions, stay with millions all the way through, including on share count.</t>
  </si>
  <si>
    <t xml:space="preserve">If you don't understand an input, turn on comemnts and you should see my suggestions on that input.</t>
  </si>
  <si>
    <t xml:space="preserve">Country of incorporation</t>
  </si>
  <si>
    <t xml:space="preserve">If you want a guide through this spreadsheet, try this YouTube video that takes you through each input cell: https://youtu.be/kyKfJ_7-mdg?si=FIeHhnLH2_2brag3 </t>
  </si>
  <si>
    <t xml:space="preserve">Industry (US)</t>
  </si>
  <si>
    <t xml:space="preserve">Industry (Global)</t>
  </si>
  <si>
    <t xml:space="preserve">Most Recent 12 months</t>
  </si>
  <si>
    <t xml:space="preserve">Last 10K before LTM</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</si>
  <si>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</si>
  <si>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</si>
  <si>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</si>
  <si>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</si>
  <si>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</si>
  <si>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</si>
  <si>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</si>
  <si>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If you want to capitalize R&amp;D, you have to input the numbers into the R&amp;D worksheet. </t>
  </si>
  <si>
    <t xml:space="preserve">Do you have operating lease commitments?</t>
  </si>
  <si>
    <t xml:space="preserve">If you lease or other contractual commitments that have not been converteed to debt already, say yes to this option and do the conversion.</t>
  </si>
  <si>
    <t xml:space="preserve">Cash and Marketable Securities</t>
  </si>
  <si>
    <t xml:space="preserve">Cross holdings and other non-operating assets</t>
  </si>
  <si>
    <t xml:space="preserve">Minority interests</t>
  </si>
  <si>
    <t xml:space="preserve">Number of shares outstanding =</t>
  </si>
  <si>
    <t xml:space="preserve">Computed numbers: Here is what your company's numbers look like, relative to industry.</t>
  </si>
  <si>
    <t xml:space="preserve">Current stock price =</t>
  </si>
  <si>
    <t xml:space="preserve">If you are not working in US dollars, you should add the inflation differential to the industry averages.</t>
  </si>
  <si>
    <t xml:space="preserve">Effective tax rate =</t>
  </si>
  <si>
    <t xml:space="preserve">Global Distribution Stats</t>
  </si>
  <si>
    <t xml:space="preserve">Marginal tax rate =</t>
  </si>
  <si>
    <t xml:space="preserve">Average</t>
  </si>
  <si>
    <t xml:space="preserve">1st Quartile</t>
  </si>
  <si>
    <t xml:space="preserve">Median</t>
  </si>
  <si>
    <t xml:space="preserve">3rd Quartile</t>
  </si>
  <si>
    <t xml:space="preserve">The value drivers below:</t>
  </si>
  <si>
    <t xml:space="preserve">Revenue growth in the most recent year =</t>
  </si>
  <si>
    <t xml:space="preserve">Revenue growth rate for next year </t>
  </si>
  <si>
    <t xml:space="preserve">Growth Lever - Next year</t>
  </si>
  <si>
    <t xml:space="preserve">Pre-tax operating margin in the most recent year =</t>
  </si>
  <si>
    <t xml:space="preserve">Operating Margin for next year</t>
  </si>
  <si>
    <t xml:space="preserve">Profitability Lever - Next year</t>
  </si>
  <si>
    <t xml:space="preserve">Sales to capital ratio in most recent year =</t>
  </si>
  <si>
    <t xml:space="preserve">Compounded annual revenue growth rate - years 2-5 =</t>
  </si>
  <si>
    <t xml:space="preserve">Growth Lever - Long term</t>
  </si>
  <si>
    <t xml:space="preserve">Marginal sales to capital ratio  =</t>
  </si>
  <si>
    <t xml:space="preserve">Target pre-tax operating margin =</t>
  </si>
  <si>
    <t xml:space="preserve">Profitability Lever - Long term</t>
  </si>
  <si>
    <t xml:space="preserve">Return on invested capital in most recent year=</t>
  </si>
  <si>
    <t xml:space="preserve">Year of convergence for margin</t>
  </si>
  <si>
    <t xml:space="preserve">Speed of convergence level</t>
  </si>
  <si>
    <t xml:space="preserve">Standard deviation in stock prices =</t>
  </si>
  <si>
    <t xml:space="preserve">Sales to capital ratio  (for years 1-5)</t>
  </si>
  <si>
    <t xml:space="preserve">Efficency of Growth Lever (first 5 years)</t>
  </si>
  <si>
    <t xml:space="preserve">Cost of capital =</t>
  </si>
  <si>
    <t xml:space="preserve">Sales to capital ratio (for years 6-10)</t>
  </si>
  <si>
    <t xml:space="preserve">Efficency of Growth Lever (years 6-10)</t>
  </si>
  <si>
    <t xml:space="preserve">Market numbers </t>
  </si>
  <si>
    <t xml:space="preserve">Valuation Output Feedback (for you to use to fine tune your inputs, if you want)</t>
  </si>
  <si>
    <t xml:space="preserve">Riskfree rate</t>
  </si>
  <si>
    <t xml:space="preserve">Revenues in year 10, based on your revenue growth =</t>
  </si>
  <si>
    <t xml:space="preserve">Initial cost of capital =</t>
  </si>
  <si>
    <t xml:space="preserve">Do not input. Go to cost of capital sheet.</t>
  </si>
  <si>
    <t xml:space="preserve">Pre-tax Operating Income in year 10, based on your operating margin =</t>
  </si>
  <si>
    <t xml:space="preserve">Other inputs</t>
  </si>
  <si>
    <t xml:space="preserve">Return on invested capital in year 10, based on your sales/capital ratio =</t>
  </si>
  <si>
    <t xml:space="preserve">Do you have employee options outstanding?</t>
  </si>
  <si>
    <t xml:space="preserve">Check the Diagnostics worksheet for more details.</t>
  </si>
  <si>
    <t xml:space="preserve">Number of options outstanding =</t>
  </si>
  <si>
    <t xml:space="preserve">Average strike price =</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</si>
  <si>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</si>
  <si>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</si>
  <si>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</si>
  <si>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</si>
  <si>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</si>
  <si>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</si>
  <si>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</si>
  <si>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 If you change your risk free rate after year 10 (see cell B57 &amp; 58), you should incorporate the change into your stable cost of capital estimate.</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</si>
  <si>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</si>
  <si>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</si>
  <si>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</si>
  <si>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</si>
  <si>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</si>
  <si>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</si>
  <si>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</si>
  <si>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 Use the failure rate worksheet, if necessary.</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</si>
  <si>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</si>
  <si>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</si>
  <si>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</si>
  <si>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</si>
  <si>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</si>
  <si>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assume that reinvestment in a year translates into growth in the next year, i.e., there is a one year lag between reinvesting and generating growth from that reinvestment.</t>
  </si>
  <si>
    <t xml:space="preserve">Do you want override this assumption =</t>
  </si>
  <si>
    <t xml:space="preserve">If yes, enter a different lag (0 = no lag to 3 = lag of 3 years)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</si>
  <si>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</si>
  <si>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</si>
  <si>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</si>
  <si>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</si>
  <si>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</si>
  <si>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asssume that today's risk free rate will prevail in perpetuity. If you override this assumption, I will change the riskfree rate after year 10.</t>
  </si>
  <si>
    <t xml:space="preserve">If yes, you will be asked to enter a normal risk free rate and your growth in perpetuity will be adjusted accordingly.</t>
  </si>
  <si>
    <t xml:space="preserve">If yes, enter the riskfree rate after year 10</t>
  </si>
  <si>
    <t xml:space="preserve">Enter your estimate of what the riskfree rate (in your currency of choice) will be after year 10</t>
  </si>
  <si>
    <t xml:space="preserve">I will assume that the growth rate in perpetuity will be equal to the risk free rate. This allows for both valuation consistency and prevents "impossible" growth rates.</t>
  </si>
  <si>
    <t xml:space="preserve">This is an option to let you use a negative growth rate in perpetuity or to even liquidate the firm.</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</si>
  <si>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</si>
  <si>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</si>
  <si>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</si>
  <si>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</si>
  <si>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</si>
  <si>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</si>
  <si>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</si>
  <si>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</si>
  <si>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</si>
  <si>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</si>
  <si>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</si>
  <si>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</si>
  <si>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</si>
  <si>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</si>
  <si>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</si>
  <si>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</si>
  <si>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</si>
  <si>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</si>
  <si>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</si>
  <si>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</si>
  <si>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</si>
  <si>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</si>
  <si>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</si>
  <si>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</si>
  <si>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</si>
  <si>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</si>
  <si>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</si>
  <si>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</si>
  <si>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</si>
  <si>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</si>
  <si>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</si>
  <si>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</si>
  <si>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If you get Value Errors all over, it is usually because your option worksheet has gone haywire. The fix is very low tech. Go into the option value worksheet, and in cell B17 of that worksheet (adjusted S), enter any number (say 5) and then undo what you did. Voila!</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</si>
  <si>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</si>
  <si>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</si>
  <si>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</si>
  <si>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</si>
  <si>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</si>
  <si>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</si>
  <si>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</si>
  <si>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</si>
  <si>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</si>
  <si>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</si>
  <si>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</si>
  <si>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</si>
  <si>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</si>
  <si>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Tell your story about the company. Keep it focuses on the company's businesses and tie it into the three key levers of value: cash flows, growth and risk</t>
  </si>
  <si>
    <t xml:space="preserve">The Assumptions</t>
  </si>
  <si>
    <t xml:space="preserve">Next year</t>
  </si>
  <si>
    <t xml:space="preserve">Years 2-5</t>
  </si>
  <si>
    <t xml:space="preserve">Years 6-10</t>
  </si>
  <si>
    <t xml:space="preserve">Revenues (a)</t>
  </si>
  <si>
    <t xml:space="preserve">Changes to</t>
  </si>
  <si>
    <t xml:space="preserve">Tie each assumption to the part of your story that relates to it.</t>
  </si>
  <si>
    <t xml:space="preserve">Operating margin (b)</t>
  </si>
  <si>
    <t xml:space="preserve">Moves to</t>
  </si>
  <si>
    <t xml:space="preserve">Sales to Capital  (c )</t>
  </si>
  <si>
    <t xml:space="preserve">Return on capital</t>
  </si>
  <si>
    <t xml:space="preserve">Marginal ROIC =</t>
  </si>
  <si>
    <t xml:space="preserve">Cost of capital (d)</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</si>
  <si>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</si>
  <si>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</si>
  <si>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</si>
  <si>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</si>
  <si>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</si>
  <si>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</si>
  <si>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</si>
  <si>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</si>
  <si>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</si>
  <si>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Minority Interests</t>
  </si>
  <si>
    <t xml:space="preserve"> + Cash &amp; Other Non-operating assets</t>
  </si>
  <si>
    <t xml:space="preserve"> - Value of equity options</t>
  </si>
  <si>
    <t xml:space="preserve">Value per share</t>
  </si>
  <si>
    <t xml:space="preserve">Stock was trading at =</t>
  </si>
  <si>
    <t xml:space="preserve">You can modify this picture and bring in relevant details to back up your cost of capital and other details that you think flesh out your company's valuation story.</t>
  </si>
  <si>
    <t xml:space="preserve">Base Year and Comparison</t>
  </si>
  <si>
    <t xml:space="preserve">Growth Story</t>
  </si>
  <si>
    <t xml:space="preserve">Profitability Story</t>
  </si>
  <si>
    <t xml:space="preserve">Growth Efficiency Story</t>
  </si>
  <si>
    <t xml:space="preserve">Industry</t>
  </si>
  <si>
    <t xml:space="preserve">Terminal Value</t>
  </si>
  <si>
    <t xml:space="preserve">Revenue Growth</t>
  </si>
  <si>
    <t xml:space="preserve">Growth Rate</t>
  </si>
  <si>
    <t xml:space="preserve">Revenue</t>
  </si>
  <si>
    <t xml:space="preserve">Operating Income</t>
  </si>
  <si>
    <t xml:space="preserve">Reinvestment Rate</t>
  </si>
  <si>
    <t xml:space="preserve">Reinvestment</t>
  </si>
  <si>
    <t xml:space="preserve">Cost of Capital</t>
  </si>
  <si>
    <t xml:space="preserve">Cumulated WACC</t>
  </si>
  <si>
    <t xml:space="preserve">Sales to Capital</t>
  </si>
  <si>
    <t xml:space="preserve">Price per share</t>
  </si>
  <si>
    <t xml:space="preserve">% Under or Over Valued</t>
  </si>
  <si>
    <t xml:space="preserve">Risk Story</t>
  </si>
  <si>
    <t xml:space="preserve">Competitive Advantages</t>
  </si>
  <si>
    <t xml:space="preserve">Step 1: Check revenue growth rate</t>
  </si>
  <si>
    <t xml:space="preserve">Your forecasts</t>
  </si>
  <si>
    <t xml:space="preserve">Questions to ask</t>
  </si>
  <si>
    <t xml:space="preserve">Industry Average</t>
  </si>
  <si>
    <t xml:space="preserve">Most Recent year</t>
  </si>
  <si>
    <t xml:space="preserve">1. If you are forecasting a revenue growth rate &gt; industry average, is your company small?</t>
  </si>
  <si>
    <t xml:space="preserve">Annual Revenue Growth Rate</t>
  </si>
  <si>
    <t xml:space="preserve">2. If your forecasted revenue growth rate is very different from your company's most recent year of growth, what is the reason?</t>
  </si>
  <si>
    <t xml:space="preserve">Step 2: Check dollar revenues</t>
  </si>
  <si>
    <t xml:space="preserve">Year 5</t>
  </si>
  <si>
    <t xml:space="preserve">Year 10</t>
  </si>
  <si>
    <t xml:space="preserve">1. How big is the total market today?</t>
  </si>
  <si>
    <t xml:space="preserve">2. How much revenues do the biggest companies in that market make today?</t>
  </si>
  <si>
    <t xml:space="preserve">3. How much growth is there in the total market?</t>
  </si>
  <si>
    <t xml:space="preserve">4. What type of market share are you forecasting for your company in year 10?</t>
  </si>
  <si>
    <t xml:space="preserve">Step 3: Check your margins</t>
  </si>
  <si>
    <t xml:space="preserve">1. What are the margins of the industry that the company is in?</t>
  </si>
  <si>
    <t xml:space="preserve">2. What are the unit economics of the business? (How much does it cost you to make the extra unit that you sell?</t>
  </si>
  <si>
    <t xml:space="preserve">3. What does the competition in this business look like?</t>
  </si>
  <si>
    <t xml:space="preserve">Step 4: Check how much you are reinvesting</t>
  </si>
  <si>
    <t xml:space="preserve">1. is the growth that you are forecasting bounce-back growth or new growth?</t>
  </si>
  <si>
    <t xml:space="preserve">2. How much excess capacity do you have to service near term growth?</t>
  </si>
  <si>
    <t xml:space="preserve">3. Does investment efficiency in this business change as companies get bigger?</t>
  </si>
  <si>
    <t xml:space="preserve">Reinvestment effect on cash flows</t>
  </si>
  <si>
    <t xml:space="preserve">$ Value</t>
  </si>
  <si>
    <t xml:space="preserve">As % of value</t>
  </si>
  <si>
    <t xml:space="preserve">PV of after-tax operating income for next 10 yearas</t>
  </si>
  <si>
    <t xml:space="preserve">1. Is your reinvestment consitent with your revenue growth forecast?</t>
  </si>
  <si>
    <t xml:space="preserve">Value effect of reinvestment for next 10 years</t>
  </si>
  <si>
    <t xml:space="preserve">2. Are you comfortable with your return on capital in year 10?</t>
  </si>
  <si>
    <t xml:space="preserve">PV of FCFF for next ten years</t>
  </si>
  <si>
    <t xml:space="preserve">Return on capital effects</t>
  </si>
  <si>
    <t xml:space="preserve">Most recent year</t>
  </si>
  <si>
    <t xml:space="preserve">Marginal (1-10)</t>
  </si>
  <si>
    <t xml:space="preserve">ROC in year 10</t>
  </si>
  <si>
    <t xml:space="preserve">Stable ROC</t>
  </si>
  <si>
    <t xml:space="preserve">Step 5: Risk Metrics</t>
  </si>
  <si>
    <t xml:space="preserve">Compounded</t>
  </si>
  <si>
    <t xml:space="preserve">Year 1-5</t>
  </si>
  <si>
    <t xml:space="preserve">Stable Growth</t>
  </si>
  <si>
    <t xml:space="preserve">1. How does your cost of capital compare to the industry average?</t>
  </si>
  <si>
    <t xml:space="preserve">2. What is happenign to your cost of capital over time? Why?</t>
  </si>
  <si>
    <t xml:space="preserve">3. Is your failure rate consistent with your company's characteristics?</t>
  </si>
  <si>
    <t xml:space="preserve">Failure Rate</t>
  </si>
  <si>
    <t xml:space="preserve">Step 6: Price versus Value</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</si>
  <si>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</si>
  <si>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</si>
  <si>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</si>
  <si>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</si>
  <si>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B25, B27)</t>
  </si>
  <si>
    <t xml:space="preserve">Increase revenue growth rate</t>
  </si>
  <si>
    <t xml:space="preserve">Decrease revenue growth rate</t>
  </si>
  <si>
    <t xml:space="preserve">Operating margin (B26, B28)</t>
  </si>
  <si>
    <t xml:space="preserve">Increase the target pre-tax operating margin</t>
  </si>
  <si>
    <t xml:space="preserve">Decrease the target pre-tax operating margin</t>
  </si>
  <si>
    <t xml:space="preserve"> </t>
  </si>
  <si>
    <t xml:space="preserve">Sales to Capital (B30-B32)</t>
  </si>
  <si>
    <t xml:space="preserve">Increase the sales/capital ratio</t>
  </si>
  <si>
    <t xml:space="preserve">Decrease the sales/capital ratio</t>
  </si>
  <si>
    <t xml:space="preserve">Return on capital in perpetuity (B48, B49)</t>
  </si>
  <si>
    <t xml:space="preserve">Increase relative to your cost of capital</t>
  </si>
  <si>
    <t xml:space="preserve">If higher than your cost of capital, lower towards your cost of capital</t>
  </si>
  <si>
    <t xml:space="preserve">T</t>
  </si>
  <si>
    <t xml:space="preserve">Note: This worksheet is the most finicky of all of the worksheets in this spreadsheet. If you start to get errors, here is a quick fix. Go into cell B12 and replace the contents with a number (say 5), and then undo your action. The spreadsheet will fix itself magically.</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</si>
  <si>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</si>
  <si>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</si>
  <si>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</si>
  <si>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</si>
  <si>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</si>
  <si>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</si>
  <si>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</si>
  <si>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</si>
  <si>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</si>
  <si>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</si>
  <si>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</si>
  <si>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Dilution-adjusted Black-Scholes</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</si>
  <si>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</si>
  <si>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</si>
  <si>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</si>
  <si>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</si>
  <si>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</si>
  <si>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</si>
  <si>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</si>
  <si>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</si>
  <si>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</si>
  <si>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</si>
  <si>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</si>
  <si>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</si>
  <si>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</si>
  <si>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</si>
  <si>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</si>
  <si>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</si>
  <si>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</si>
  <si>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If you have negative operating income, this spreadsheet will offer you a D rating. Do not use that rating as your cost of debt for a going concern. Insread give your company a low, but going concern rating like BB and use that cost of debt.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</si>
  <si>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</si>
  <si>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</si>
  <si>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</si>
  <si>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</si>
  <si>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</si>
  <si>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</si>
  <si>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</si>
  <si>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</si>
  <si>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</si>
  <si>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Output</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</si>
  <si>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</si>
  <si>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</si>
  <si>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</si>
  <si>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</si>
  <si>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</si>
  <si>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</si>
  <si>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</si>
  <si>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</si>
  <si>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</si>
  <si>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Default Probabilities over time (1 - 10 year time horizons)</t>
  </si>
  <si>
    <t xml:space="preserve">If interest coverage ratio is</t>
  </si>
  <si>
    <t xml:space="preserve">Rating</t>
  </si>
  <si>
    <t xml:space="preserve">&gt;</t>
  </si>
  <si>
    <t xml:space="preserve">≤ to</t>
  </si>
  <si>
    <t xml:space="preserve">Rating is</t>
  </si>
  <si>
    <t xml:space="preserve">Spread is</t>
  </si>
  <si>
    <t xml:space="preserve">AAA</t>
  </si>
  <si>
    <t xml:space="preserve">D2/D</t>
  </si>
  <si>
    <t xml:space="preserve">AA</t>
  </si>
  <si>
    <t xml:space="preserve">C2/C</t>
  </si>
  <si>
    <t xml:space="preserve">A</t>
  </si>
  <si>
    <t xml:space="preserve">Ca2/CC</t>
  </si>
  <si>
    <t xml:space="preserve">BBB</t>
  </si>
  <si>
    <t xml:space="preserve">Caa/CCC</t>
  </si>
  <si>
    <t xml:space="preserve">BB</t>
  </si>
  <si>
    <t xml:space="preserve">B3/B-</t>
  </si>
  <si>
    <t xml:space="preserve">B</t>
  </si>
  <si>
    <t xml:space="preserve">B2/B</t>
  </si>
  <si>
    <t xml:space="preserve">CCC/C</t>
  </si>
  <si>
    <t xml:space="preserve">B1/B+</t>
  </si>
  <si>
    <t xml:space="preserve">Ba2/BB</t>
  </si>
  <si>
    <t xml:space="preserve">Ba1/BB+</t>
  </si>
  <si>
    <t xml:space="preserve">A3/A-</t>
  </si>
  <si>
    <t xml:space="preserve">A2/A</t>
  </si>
  <si>
    <t xml:space="preserve">A1/A+</t>
  </si>
  <si>
    <t xml:space="preserve">Aa2/AA</t>
  </si>
  <si>
    <t xml:space="preserve">Aaa/AAA</t>
  </si>
  <si>
    <t xml:space="preserve">For smaller and riskier firms</t>
  </si>
  <si>
    <t xml:space="preserve">greater than</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</si>
  <si>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</si>
  <si>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</si>
  <si>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</si>
  <si>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</si>
  <si>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</si>
  <si>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</si>
  <si>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</si>
  <si>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</si>
  <si>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</si>
  <si>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Year</t>
  </si>
  <si>
    <t xml:space="preserve">R&amp; D Expenses</t>
  </si>
  <si>
    <t xml:space="preserve">! Year -1 is the year prior to the most recent 12 months</t>
  </si>
  <si>
    <t xml:space="preserve">! Year -2 is the two years prior to the most recent 12 months</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</si>
  <si>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</si>
  <si>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</si>
  <si>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</si>
  <si>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</si>
  <si>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</si>
  <si>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</si>
  <si>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</si>
  <si>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</si>
  <si>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</si>
  <si>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Lookup Table for Amortizable Lives</t>
  </si>
  <si>
    <t xml:space="preserve">Industry Name</t>
  </si>
  <si>
    <t xml:space="preserve">Amortization Period</t>
  </si>
  <si>
    <t xml:space="preserve">Advertising</t>
  </si>
  <si>
    <t xml:space="preserve">Aerospace/Defense</t>
  </si>
  <si>
    <t xml:space="preserve">Air Transport</t>
  </si>
  <si>
    <t xml:space="preserve">Aluminum</t>
  </si>
  <si>
    <t xml:space="preserve">Apparel</t>
  </si>
  <si>
    <t xml:space="preserve">Auto &amp; Truck</t>
  </si>
  <si>
    <t xml:space="preserve">Auto Parts (OEM)</t>
  </si>
  <si>
    <t xml:space="preserve">Auto Parts (Replacement)</t>
  </si>
  <si>
    <t xml:space="preserve">Bank</t>
  </si>
  <si>
    <t xml:space="preserve">Bank (Canadian)</t>
  </si>
  <si>
    <t xml:space="preserve">Bank (Foreign)</t>
  </si>
  <si>
    <t xml:space="preserve">Bank (Midwest)</t>
  </si>
  <si>
    <t xml:space="preserve">Beverage (Alcoholic)</t>
  </si>
  <si>
    <t xml:space="preserve">Beverage (Soft Drink)</t>
  </si>
  <si>
    <t xml:space="preserve">Building Materials</t>
  </si>
  <si>
    <t xml:space="preserve">Cable TV</t>
  </si>
  <si>
    <t xml:space="preserve">Canadian Energy</t>
  </si>
  <si>
    <t xml:space="preserve">Cement &amp; Aggregates</t>
  </si>
  <si>
    <t xml:space="preserve">Chemical (Basic)</t>
  </si>
  <si>
    <t xml:space="preserve">Chemical (Diversified)</t>
  </si>
  <si>
    <t xml:space="preserve">Chemical (Specialty)</t>
  </si>
  <si>
    <t xml:space="preserve">Coal/Alternate Energy</t>
  </si>
  <si>
    <t xml:space="preserve">Computer &amp; Peripherals</t>
  </si>
  <si>
    <t xml:space="preserve">Computer Software &amp; Svcs</t>
  </si>
  <si>
    <t xml:space="preserve">Copper</t>
  </si>
  <si>
    <t xml:space="preserve">Diversified Co.</t>
  </si>
  <si>
    <t xml:space="preserve">Drug</t>
  </si>
  <si>
    <t xml:space="preserve">Drugstore</t>
  </si>
  <si>
    <t xml:space="preserve">Educational Services</t>
  </si>
  <si>
    <t xml:space="preserve">Electric Util. (Central)</t>
  </si>
  <si>
    <t xml:space="preserve">Electric Utility (East)</t>
  </si>
  <si>
    <t xml:space="preserve">Electric Utility (West)</t>
  </si>
  <si>
    <t xml:space="preserve">Electrical Equipment</t>
  </si>
  <si>
    <t xml:space="preserve">Electronics</t>
  </si>
  <si>
    <t xml:space="preserve">Entertainment</t>
  </si>
  <si>
    <t xml:space="preserve">Environmental</t>
  </si>
  <si>
    <t xml:space="preserve">Financial Services</t>
  </si>
  <si>
    <t xml:space="preserve">Food Processing</t>
  </si>
  <si>
    <t xml:space="preserve">Food Wholesalers</t>
  </si>
  <si>
    <t xml:space="preserve">Foreign Electron/Entertn</t>
  </si>
  <si>
    <t xml:space="preserve">Foreign Telecom.</t>
  </si>
  <si>
    <t xml:space="preserve">Furn./Home Furnishings</t>
  </si>
  <si>
    <t xml:space="preserve">Gold/Silver Mining</t>
  </si>
  <si>
    <t xml:space="preserve">Grocery</t>
  </si>
  <si>
    <t xml:space="preserve">Healthcare Info Systems</t>
  </si>
  <si>
    <t xml:space="preserve">Home Appliance</t>
  </si>
  <si>
    <t xml:space="preserve">Homebuilding</t>
  </si>
  <si>
    <t xml:space="preserve">Hotel/Gaming</t>
  </si>
  <si>
    <t xml:space="preserve">Household Products</t>
  </si>
  <si>
    <t xml:space="preserve">Industrial Services</t>
  </si>
  <si>
    <t xml:space="preserve">Insurance (Diversified)</t>
  </si>
  <si>
    <t xml:space="preserve">Insurance (Life)</t>
  </si>
  <si>
    <t xml:space="preserve">Insurance (Prop/Casualty)</t>
  </si>
  <si>
    <t xml:space="preserve">Internet</t>
  </si>
  <si>
    <t xml:space="preserve">Investment Co. (Domestic)</t>
  </si>
  <si>
    <t xml:space="preserve">Investment Co. (Foreign)</t>
  </si>
  <si>
    <t xml:space="preserve">Investment Co. (Income)</t>
  </si>
  <si>
    <t xml:space="preserve">Machinery</t>
  </si>
  <si>
    <t xml:space="preserve">Manuf. Housing/Rec Veh</t>
  </si>
  <si>
    <t xml:space="preserve">Maritime</t>
  </si>
  <si>
    <t xml:space="preserve">Medical Services</t>
  </si>
  <si>
    <t xml:space="preserve">Medical Supplies</t>
  </si>
  <si>
    <t xml:space="preserve">Metal Fabricating</t>
  </si>
  <si>
    <t xml:space="preserve">Metals &amp; Mining (Div.)</t>
  </si>
  <si>
    <t xml:space="preserve">Natural Gas (Distrib.)</t>
  </si>
  <si>
    <t xml:space="preserve">Natural Gas (Diversified)</t>
  </si>
  <si>
    <t xml:space="preserve">Newspaper</t>
  </si>
  <si>
    <t xml:space="preserve">Office Equip &amp; Supplies</t>
  </si>
  <si>
    <t xml:space="preserve">Oilfield Services/Equip.</t>
  </si>
  <si>
    <t xml:space="preserve">Packaging &amp; Container</t>
  </si>
  <si>
    <t xml:space="preserve">Paper &amp; Forest Products</t>
  </si>
  <si>
    <t xml:space="preserve">Petroleum (Integrated)</t>
  </si>
  <si>
    <t xml:space="preserve">Petroleum (Producing)</t>
  </si>
  <si>
    <t xml:space="preserve">Precision Instrument</t>
  </si>
  <si>
    <t xml:space="preserve">Publishing</t>
  </si>
  <si>
    <t xml:space="preserve">R.E.I.T.</t>
  </si>
  <si>
    <t xml:space="preserve">Railroad</t>
  </si>
  <si>
    <t xml:space="preserve">Recreation</t>
  </si>
  <si>
    <t xml:space="preserve">Restaurant</t>
  </si>
  <si>
    <t xml:space="preserve">Retail (Special Lines)</t>
  </si>
  <si>
    <t xml:space="preserve">Retail Building Supply</t>
  </si>
  <si>
    <t xml:space="preserve">Retail Store</t>
  </si>
  <si>
    <t xml:space="preserve">Securities Brokerage</t>
  </si>
  <si>
    <t xml:space="preserve">Semiconductor</t>
  </si>
  <si>
    <t xml:space="preserve">Semiconductor Cap Equip</t>
  </si>
  <si>
    <t xml:space="preserve">Shoe</t>
  </si>
  <si>
    <t xml:space="preserve">Steel (General)</t>
  </si>
  <si>
    <t xml:space="preserve">Steel (Integrated)</t>
  </si>
  <si>
    <t xml:space="preserve">Telecom. Services</t>
  </si>
  <si>
    <t xml:space="preserve">Textile</t>
  </si>
  <si>
    <t xml:space="preserve">Thrift</t>
  </si>
  <si>
    <t xml:space="preserve">Tire &amp; Rubber</t>
  </si>
  <si>
    <t xml:space="preserve">Tobacco</t>
  </si>
  <si>
    <t xml:space="preserve">Toiletries/Cosmetics</t>
  </si>
  <si>
    <t xml:space="preserve">Trucking/Transp. Leasing</t>
  </si>
  <si>
    <t xml:space="preserve">Utility (Foreign)</t>
  </si>
  <si>
    <t xml:space="preserve">Water Utility</t>
  </si>
  <si>
    <t xml:space="preserve">Operating Lease Converter</t>
  </si>
  <si>
    <t xml:space="preserve">The yellow cells are input cells. Please enter them.</t>
  </si>
  <si>
    <t xml:space="preserve">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</si>
  <si>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</si>
  <si>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</si>
  <si>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</si>
  <si>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</si>
  <si>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</si>
  <si>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</si>
  <si>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</si>
  <si>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</si>
  <si>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</si>
  <si>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</si>
  <si>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</si>
  <si>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Present Value</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</si>
  <si>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</si>
  <si>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</si>
  <si>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</si>
  <si>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</si>
  <si>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</si>
  <si>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</si>
  <si>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</si>
  <si>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</si>
  <si>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</si>
  <si>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</si>
  <si>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</si>
  <si>
    <t xml:space="preserve">Estimation of Current Cost of Capital</t>
  </si>
  <si>
    <t xml:space="preserve">Operating Countries ERP calculator</t>
  </si>
  <si>
    <t xml:space="preserve">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</si>
  <si>
    <t xml:space="preserve">Country</t>
  </si>
  <si>
    <t xml:space="preserve">ERP</t>
  </si>
  <si>
    <t xml:space="preserve">Weight</t>
  </si>
  <si>
    <t xml:space="preserve">Weighted ERP</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</si>
  <si>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</si>
  <si>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China</t>
  </si>
  <si>
    <t xml:space="preserve">Which approach will you be using?</t>
  </si>
  <si>
    <t xml:space="preserve">If direct input, enter cost of capital to use</t>
  </si>
  <si>
    <t xml:space="preserve">Cost of capital based upon approach =</t>
  </si>
  <si>
    <t xml:space="preserve">Approach 1: Detailed Cost of Capital</t>
  </si>
  <si>
    <t xml:space="preserve">Rest of the World</t>
  </si>
  <si>
    <t xml:space="preserve">Equity</t>
  </si>
  <si>
    <t xml:space="preserve">Number of Shares outstanding =</t>
  </si>
  <si>
    <t xml:space="preserve">Total</t>
  </si>
  <si>
    <t xml:space="preserve">Current Market Price per share =</t>
  </si>
  <si>
    <t xml:space="preserve">Operating Regions ERP calculator</t>
  </si>
  <si>
    <t xml:space="preserve">Region</t>
  </si>
  <si>
    <t xml:space="preserve">Approach for estimating beta</t>
  </si>
  <si>
    <t xml:space="preserve">If direct input, enter levered beta (or regression beta)</t>
  </si>
  <si>
    <t xml:space="preserve">Unlevered beta =</t>
  </si>
  <si>
    <t xml:space="preserve">Riskfree Rate =</t>
  </si>
  <si>
    <t xml:space="preserve">What approach do you want to use to input ERP?</t>
  </si>
  <si>
    <t xml:space="preserve">Direct input for ERP (if you choose "will input"</t>
  </si>
  <si>
    <t xml:space="preserve">Equity Risk Premium used in cost of equity =</t>
  </si>
  <si>
    <t xml:space="preserve">Debt</t>
  </si>
  <si>
    <t xml:space="preserve">Book Value of Straight Debt =</t>
  </si>
  <si>
    <t xml:space="preserve">(unused)</t>
  </si>
  <si>
    <t xml:space="preserve">Interest Expense on Debt =</t>
  </si>
  <si>
    <t xml:space="preserve">Average Maturity =</t>
  </si>
  <si>
    <t xml:space="preserve">Approach for estimating pre-tax cost of debt</t>
  </si>
  <si>
    <t xml:space="preserve">If direct input, input the pre-tax cost of debt</t>
  </si>
  <si>
    <t xml:space="preserve">Multi Business (US Industry Averages)</t>
  </si>
  <si>
    <t xml:space="preserve">If actual rating, input the rating</t>
  </si>
  <si>
    <t xml:space="preserve">Business</t>
  </si>
  <si>
    <t xml:space="preserve">EV/Sales</t>
  </si>
  <si>
    <t xml:space="preserve">Estimated Value</t>
  </si>
  <si>
    <t xml:space="preserve">Unlevered Beta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</si>
  <si>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</si>
  <si>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</si>
  <si>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</si>
  <si>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</si>
  <si>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</si>
  <si>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</si>
  <si>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The costt of capital  is in US dollars, using the riskfree rate at the start of the year. It will be adjusted for the difference in riskfree rates to make it more current and to change currencies.</t>
  </si>
  <si>
    <t xml:space="preserve">Debt value of operating leases =</t>
  </si>
  <si>
    <t xml:space="preserve">Preferred Stock</t>
  </si>
  <si>
    <t xml:space="preserve">Number of Preferred Shares =</t>
  </si>
  <si>
    <t xml:space="preserve">Current Market Price per Share=</t>
  </si>
  <si>
    <t xml:space="preserve">Annual Dividend per Share =</t>
  </si>
  <si>
    <t xml:space="preserve">Multi Business (Global Industry Averages)</t>
  </si>
  <si>
    <t xml:space="preserve">Electronics (General)</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</si>
  <si>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</si>
  <si>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</si>
  <si>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</si>
  <si>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</si>
  <si>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</si>
  <si>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</si>
  <si>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</si>
  <si>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</si>
  <si>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The cost of capital  is in US dollars, using the riskfree rate at the start of the year. It will be adjusted for the difference in riskfree rates to make it more current and to change currencies.</t>
  </si>
  <si>
    <t xml:space="preserve">Weight in Cost of Capital</t>
  </si>
  <si>
    <t xml:space="preserve">Cost of Component</t>
  </si>
  <si>
    <t xml:space="preserve">Approach 2: industry average cost of capital, adjusted for riskfre rate differences</t>
  </si>
  <si>
    <t xml:space="preserve">Industry </t>
  </si>
  <si>
    <t xml:space="preserve">Cost of capital, adjusted for riskfree rate difference</t>
  </si>
  <si>
    <t xml:space="preserve">Approach 3: Uae histogram of costs of capital of all publicly traded firms</t>
  </si>
  <si>
    <t xml:space="preserve">Which grouping (US, Emerging Markets, Global)</t>
  </si>
  <si>
    <t xml:space="preserve">US</t>
  </si>
  <si>
    <t xml:space="preserve">Which risk grouping does your company fall in?</t>
  </si>
  <si>
    <t xml:space="preserve">Cost of capital based upon decile/group chosen</t>
  </si>
  <si>
    <t xml:space="preserve">First Decile</t>
  </si>
  <si>
    <t xml:space="preserve">First Quartile</t>
  </si>
  <si>
    <t xml:space="preserve">Third Quartile</t>
  </si>
  <si>
    <t xml:space="preserve">Ninth Decile</t>
  </si>
  <si>
    <t xml:space="preserve">Emerging</t>
  </si>
  <si>
    <t xml:space="preserve">Europe</t>
  </si>
  <si>
    <t xml:space="preserve">Global</t>
  </si>
  <si>
    <t xml:space="preserve">Japan</t>
  </si>
  <si>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</si>
  <si>
    <t xml:space="preserve">Estimating the likelihood of failure</t>
  </si>
  <si>
    <t xml:space="preserve">Approach 1: Using a corporate bond rating</t>
  </si>
  <si>
    <t xml:space="preserve">Thus, if you use the 10-year likelihood of failure, the chance of failure for a BB rated firm is 11.78%.</t>
  </si>
  <si>
    <t xml:space="preserve">Approach 2: Using corporate age (for young companies)</t>
  </si>
  <si>
    <t xml:space="preserve">Survial Rate Data from Bureau of Labor Statistics (2022)</t>
  </si>
  <si>
    <t xml:space="preserve">Agriculture</t>
  </si>
  <si>
    <t xml:space="preserve">Mining</t>
  </si>
  <si>
    <t xml:space="preserve">Utilities</t>
  </si>
  <si>
    <t xml:space="preserve">Construction</t>
  </si>
  <si>
    <t xml:space="preserve">Manufacturing</t>
  </si>
  <si>
    <t xml:space="preserve">Retail</t>
  </si>
  <si>
    <t xml:space="preserve">Transportation</t>
  </si>
  <si>
    <t xml:space="preserve">Information</t>
  </si>
  <si>
    <t xml:space="preserve">Health Care</t>
  </si>
  <si>
    <t xml:space="preserve">All Sectors</t>
  </si>
  <si>
    <t xml:space="preserve">Failure Rate given age</t>
  </si>
  <si>
    <t xml:space="preserve">Source; Bureau of Labor Statistics</t>
  </si>
  <si>
    <t xml:space="preserve">Thus, if you are valuing a technology firm that is 6 years old, the chance of failure is 11.70%.</t>
  </si>
  <si>
    <t xml:space="preserve">Factors to consider</t>
  </si>
  <si>
    <t xml:space="preserve">1. The likelihood of failure decreases for larger firms. </t>
  </si>
  <si>
    <t xml:space="preserve">2. The likelihood of failure decreases with access to capital, and is thus lower for publicly traded firms or firms with multiple high profile VCs</t>
  </si>
  <si>
    <t xml:space="preserve">3. The likelihood of failure decreases as revenue growth increases, since hope for future growth will sustain the firm.</t>
  </si>
  <si>
    <t xml:space="preserve">4. The likelihood of failure decreases with better unit economics, higher gross margins on the additional units sold</t>
  </si>
  <si>
    <t xml:space="preserve">Mature Market ERP +</t>
  </si>
  <si>
    <t xml:space="preserve">Updated January 1, 2026</t>
  </si>
  <si>
    <t xml:space="preserve">Changing this number will update all your country equity risk premiums.</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</si>
  <si>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</si>
  <si>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</si>
  <si>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</si>
  <si>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</si>
  <si>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</si>
  <si>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</si>
  <si>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</si>
  <si>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Albania</t>
  </si>
  <si>
    <t xml:space="preserve">Ba3</t>
  </si>
  <si>
    <t xml:space="preserve">Algeria</t>
  </si>
  <si>
    <t xml:space="preserve">NR</t>
  </si>
  <si>
    <t xml:space="preserve">Andorra (Principality of)</t>
  </si>
  <si>
    <t xml:space="preserve">Baa1</t>
  </si>
  <si>
    <t xml:space="preserve">Angola</t>
  </si>
  <si>
    <t xml:space="preserve">Anguilla</t>
  </si>
  <si>
    <t xml:space="preserve">Antigua &amp; Barbuda</t>
  </si>
  <si>
    <t xml:space="preserve">Argentina</t>
  </si>
  <si>
    <t xml:space="preserve">Caa1</t>
  </si>
  <si>
    <t xml:space="preserve">Armenia</t>
  </si>
  <si>
    <t xml:space="preserve">Aruba</t>
  </si>
  <si>
    <t xml:space="preserve">Baa3</t>
  </si>
  <si>
    <t xml:space="preserve">Australia</t>
  </si>
  <si>
    <t xml:space="preserve">Aaa</t>
  </si>
  <si>
    <t xml:space="preserve">Austria</t>
  </si>
  <si>
    <t xml:space="preserve">Aa1</t>
  </si>
  <si>
    <t xml:space="preserve">Azerbaijan</t>
  </si>
  <si>
    <t xml:space="preserve">Bahamas</t>
  </si>
  <si>
    <t xml:space="preserve">B1</t>
  </si>
  <si>
    <t xml:space="preserve">Bahrain</t>
  </si>
  <si>
    <t xml:space="preserve">B2</t>
  </si>
  <si>
    <t xml:space="preserve">Bangladesh</t>
  </si>
  <si>
    <t xml:space="preserve">Barbados</t>
  </si>
  <si>
    <t xml:space="preserve">Belarus</t>
  </si>
  <si>
    <t xml:space="preserve">C</t>
  </si>
  <si>
    <t xml:space="preserve">Belgium</t>
  </si>
  <si>
    <t xml:space="preserve">Aa3</t>
  </si>
  <si>
    <t xml:space="preserve">Belize</t>
  </si>
  <si>
    <t xml:space="preserve">Benin</t>
  </si>
  <si>
    <t xml:space="preserve">Bermuda</t>
  </si>
  <si>
    <t xml:space="preserve">Bolivia</t>
  </si>
  <si>
    <t xml:space="preserve">Ca</t>
  </si>
  <si>
    <t xml:space="preserve">Bosnia and Herzegovina</t>
  </si>
  <si>
    <t xml:space="preserve">Botswana</t>
  </si>
  <si>
    <t xml:space="preserve">Brazil</t>
  </si>
  <si>
    <t xml:space="preserve">Ba1</t>
  </si>
  <si>
    <t xml:space="preserve">British Virgin Islands</t>
  </si>
  <si>
    <t xml:space="preserve">Brunei</t>
  </si>
  <si>
    <t xml:space="preserve">Bulgaria</t>
  </si>
  <si>
    <t xml:space="preserve">Burkina Faso</t>
  </si>
  <si>
    <t xml:space="preserve">Cambodia</t>
  </si>
  <si>
    <t xml:space="preserve">Cameroon</t>
  </si>
  <si>
    <t xml:space="preserve">Canada</t>
  </si>
  <si>
    <t xml:space="preserve">Cape Verde</t>
  </si>
  <si>
    <t xml:space="preserve">Cayman Islands</t>
  </si>
  <si>
    <t xml:space="preserve">Channel Islands</t>
  </si>
  <si>
    <t xml:space="preserve">Chile</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</si>
  <si>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</si>
  <si>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</si>
  <si>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</si>
  <si>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</si>
  <si>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</si>
  <si>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</si>
  <si>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</si>
  <si>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Ba2</t>
  </si>
  <si>
    <t xml:space="preserve">Croatia</t>
  </si>
  <si>
    <t xml:space="preserve">Cuba</t>
  </si>
  <si>
    <t xml:space="preserve">Curaçao</t>
  </si>
  <si>
    <t xml:space="preserve">Cyprus</t>
  </si>
  <si>
    <t xml:space="preserve">Czech Republic</t>
  </si>
  <si>
    <t xml:space="preserve">Denmark</t>
  </si>
  <si>
    <t xml:space="preserve">Dominican Republic</t>
  </si>
  <si>
    <t xml:space="preserve">Ecuador</t>
  </si>
  <si>
    <t xml:space="preserve">Caa3</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</si>
  <si>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</si>
  <si>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</si>
  <si>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</si>
  <si>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</si>
  <si>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</si>
  <si>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</si>
  <si>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</si>
  <si>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</si>
  <si>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French Guiana</t>
  </si>
  <si>
    <t xml:space="preserve">Gabon</t>
  </si>
  <si>
    <t xml:space="preserve">Gambia</t>
  </si>
  <si>
    <t xml:space="preserve">Georgia</t>
  </si>
  <si>
    <t xml:space="preserve">Germany</t>
  </si>
  <si>
    <t xml:space="preserve">Ghana</t>
  </si>
  <si>
    <t xml:space="preserve">Gibraltar</t>
  </si>
  <si>
    <t xml:space="preserve">Greece</t>
  </si>
  <si>
    <t xml:space="preserve">Greenland</t>
  </si>
  <si>
    <t xml:space="preserve">Guatemala</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</si>
  <si>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</si>
  <si>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</si>
  <si>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</si>
  <si>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</si>
  <si>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</si>
  <si>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</si>
  <si>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</si>
  <si>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</si>
  <si>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Baa2</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</si>
  <si>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</si>
  <si>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</si>
  <si>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</si>
  <si>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</si>
  <si>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</si>
  <si>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</si>
  <si>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</si>
  <si>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</si>
  <si>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</si>
  <si>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</si>
  <si>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</si>
  <si>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</si>
  <si>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</si>
  <si>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</si>
  <si>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</si>
  <si>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</si>
  <si>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</si>
  <si>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</si>
  <si>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</si>
  <si>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</si>
  <si>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</si>
  <si>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</si>
  <si>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</si>
  <si>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</si>
  <si>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</si>
  <si>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</si>
  <si>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</si>
  <si>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</si>
  <si>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</si>
  <si>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</si>
  <si>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</si>
  <si>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Maldives</t>
  </si>
  <si>
    <t xml:space="preserve">Mali</t>
  </si>
  <si>
    <t xml:space="preserve">Malta</t>
  </si>
  <si>
    <t xml:space="preserve">Martinique</t>
  </si>
  <si>
    <t xml:space="preserve">Mauritius</t>
  </si>
  <si>
    <t xml:space="preserve">Mexico</t>
  </si>
  <si>
    <t xml:space="preserve">Moldova</t>
  </si>
  <si>
    <t xml:space="preserve">Monaco</t>
  </si>
  <si>
    <t xml:space="preserve">Mongolia</t>
  </si>
  <si>
    <t xml:space="preserve">Montenegro</t>
  </si>
  <si>
    <t xml:space="preserve">Montserrat</t>
  </si>
  <si>
    <t xml:space="preserve">Morocco</t>
  </si>
  <si>
    <t xml:space="preserve">Mozambique</t>
  </si>
  <si>
    <t xml:space="preserve">Myanmar</t>
  </si>
  <si>
    <t xml:space="preserve">Namibia</t>
  </si>
  <si>
    <t xml:space="preserve">Nepal</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</si>
  <si>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</si>
  <si>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</si>
  <si>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</si>
  <si>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</si>
  <si>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</si>
  <si>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</si>
  <si>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</si>
  <si>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</si>
  <si>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</si>
  <si>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</si>
  <si>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</si>
  <si>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</si>
  <si>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</si>
  <si>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</si>
  <si>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</si>
  <si>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</si>
  <si>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</si>
  <si>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</si>
  <si>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</si>
  <si>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</si>
  <si>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</si>
  <si>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</si>
  <si>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</si>
  <si>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</si>
  <si>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</si>
  <si>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</si>
  <si>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</si>
  <si>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</si>
  <si>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</si>
  <si>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</si>
  <si>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</si>
  <si>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</si>
  <si>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</si>
  <si>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</si>
  <si>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</si>
  <si>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South Korea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</si>
  <si>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</si>
  <si>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</si>
  <si>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</si>
  <si>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</si>
  <si>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</si>
  <si>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</si>
  <si>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</si>
  <si>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</si>
  <si>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</si>
  <si>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</si>
  <si>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</si>
  <si>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</si>
  <si>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</si>
  <si>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</si>
  <si>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</si>
  <si>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</si>
  <si>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</si>
  <si>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</si>
  <si>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</si>
  <si>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</si>
  <si>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</si>
  <si>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</si>
  <si>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United Kingdom</t>
  </si>
  <si>
    <t xml:space="preserve">Uruguay</t>
  </si>
  <si>
    <t xml:space="preserve">Uzbekistan</t>
  </si>
  <si>
    <t xml:space="preserve">Venezuela</t>
  </si>
  <si>
    <t xml:space="preserve">Vietnam</t>
  </si>
  <si>
    <t xml:space="preserve">Yemen</t>
  </si>
  <si>
    <t xml:space="preserve">Zambia</t>
  </si>
  <si>
    <t xml:space="preserve">Zimbabwe</t>
  </si>
  <si>
    <t xml:space="preserve">Weighted Average: Default Spread</t>
  </si>
  <si>
    <t xml:space="preserve">Tax Rate</t>
  </si>
  <si>
    <t xml:space="preserve">Weighted Average: CRP</t>
  </si>
  <si>
    <t xml:space="preserve">Total GDP (in $ millions)</t>
  </si>
  <si>
    <t xml:space="preserve">Africa</t>
  </si>
  <si>
    <t xml:space="preserve">Asia</t>
  </si>
  <si>
    <t xml:space="preserve">Australia &amp; New Zealand</t>
  </si>
  <si>
    <t xml:space="preserve">Caribbean</t>
  </si>
  <si>
    <t xml:space="preserve">Central and South America</t>
  </si>
  <si>
    <t xml:space="preserve">Eastern Europe</t>
  </si>
  <si>
    <t xml:space="preserve">Middle East</t>
  </si>
  <si>
    <t xml:space="preserve">North America</t>
  </si>
  <si>
    <t xml:space="preserve">Western Europe</t>
  </si>
  <si>
    <t xml:space="preserve">Default Spread</t>
  </si>
  <si>
    <t xml:space="preserve">CRP</t>
  </si>
  <si>
    <t xml:space="preserve">Africa &amp; Mid East</t>
  </si>
  <si>
    <t xml:space="preserve">Australia, NZ &amp; Canada</t>
  </si>
  <si>
    <t xml:space="preserve">Latin America &amp; Caribbean</t>
  </si>
  <si>
    <t xml:space="preserve">Emerging Markets</t>
  </si>
  <si>
    <t xml:space="preserve">Small Asia (No India, China &amp; Japan)</t>
  </si>
  <si>
    <t xml:space="preserve">For other regional groupings</t>
  </si>
  <si>
    <t xml:space="preserve">EMEA</t>
  </si>
  <si>
    <t xml:space="preserve">Number of firms</t>
  </si>
  <si>
    <t xml:space="preserve">Annual Average Revenue growth - Last 5 years</t>
  </si>
  <si>
    <t xml:space="preserve">Pre-tax Operating Margin (Unadjusted)</t>
  </si>
  <si>
    <t xml:space="preserve">After-tax ROC</t>
  </si>
  <si>
    <t xml:space="preserve">Average effective tax rate</t>
  </si>
  <si>
    <t xml:space="preserve">Equity (Levered) Beta</t>
  </si>
  <si>
    <t xml:space="preserve">Std deviation in stock prices</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</si>
  <si>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</si>
  <si>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</si>
  <si>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</si>
  <si>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</si>
  <si>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</si>
  <si>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</si>
  <si>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</si>
  <si>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</si>
  <si>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</si>
  <si>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ROE</t>
  </si>
  <si>
    <t xml:space="preserve">Dividend Payout Ratio</t>
  </si>
  <si>
    <t xml:space="preserve">Equity Reinvestment Rate</t>
  </si>
  <si>
    <t xml:space="preserve">Pre-tax Operating Margin (Lease &amp; R&amp;D adjusted)</t>
  </si>
  <si>
    <t xml:space="preserve">Auto Parts</t>
  </si>
  <si>
    <t xml:space="preserve">Bank (Money Center)</t>
  </si>
  <si>
    <t xml:space="preserve">NA</t>
  </si>
  <si>
    <t xml:space="preserve">Banks (Regional)</t>
  </si>
  <si>
    <t xml:space="preserve">Beverage (Soft)</t>
  </si>
  <si>
    <t xml:space="preserve">Broadcasting</t>
  </si>
  <si>
    <t xml:space="preserve">Brokerage &amp; Investment Banking</t>
  </si>
  <si>
    <t xml:space="preserve">Business &amp; Consumer Services</t>
  </si>
  <si>
    <t xml:space="preserve">Coal &amp; Related Energy</t>
  </si>
  <si>
    <t xml:space="preserve">Computer Services</t>
  </si>
  <si>
    <t xml:space="preserve">Construction Supplies</t>
  </si>
  <si>
    <t xml:space="preserve">Diversified</t>
  </si>
  <si>
    <t xml:space="preserve">Drugs (Biotechnology)</t>
  </si>
  <si>
    <t xml:space="preserve">Drugs (Pharmaceutical)</t>
  </si>
  <si>
    <t xml:space="preserve">Education</t>
  </si>
  <si>
    <t xml:space="preserve">Electronics (Consumer &amp; Office)</t>
  </si>
  <si>
    <t xml:space="preserve">Engineering/Construction</t>
  </si>
  <si>
    <t xml:space="preserve">Environmental &amp; Waste Services</t>
  </si>
  <si>
    <t xml:space="preserve">Farming/Agriculture</t>
  </si>
  <si>
    <t xml:space="preserve">Financial Svcs. (Non-bank &amp; Insurance)</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</si>
  <si>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</si>
  <si>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</si>
  <si>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</si>
  <si>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</si>
  <si>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</si>
  <si>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Hospitals/Healthcare Facilities</t>
  </si>
  <si>
    <t xml:space="preserve">Information Services</t>
  </si>
  <si>
    <t xml:space="preserve">Insurance (General)</t>
  </si>
  <si>
    <t xml:space="preserve">Insurance (Prop/Cas.)</t>
  </si>
  <si>
    <t xml:space="preserve">Investments &amp; Asset Management</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</si>
  <si>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</si>
  <si>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</si>
  <si>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</si>
  <si>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</si>
  <si>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</si>
  <si>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</si>
  <si>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Paper/Forest Products</t>
  </si>
  <si>
    <t xml:space="preserve">Power</t>
  </si>
  <si>
    <t xml:space="preserve">Precious Metals</t>
  </si>
  <si>
    <t xml:space="preserve">Publishing &amp; Newspapers</t>
  </si>
  <si>
    <t xml:space="preserve">Real Estate (Development)</t>
  </si>
  <si>
    <t xml:space="preserve">Real Estate (General/Diversified)</t>
  </si>
  <si>
    <t xml:space="preserve">Real Estate (Operations &amp; Services)</t>
  </si>
  <si>
    <t xml:space="preserve">Reinsurance</t>
  </si>
  <si>
    <t xml:space="preserve">Restaurant/Dining</t>
  </si>
  <si>
    <t xml:space="preserve">Retail (Automotive)</t>
  </si>
  <si>
    <t xml:space="preserve">Retail (Building Supply)</t>
  </si>
  <si>
    <t xml:space="preserve">Retail (Distributors)</t>
  </si>
  <si>
    <t xml:space="preserve">Retail (General)</t>
  </si>
  <si>
    <t xml:space="preserve">Retail (Grocery and Food)</t>
  </si>
  <si>
    <t xml:space="preserve">Retail (REITs)</t>
  </si>
  <si>
    <t xml:space="preserve">Rubber&amp; Tires</t>
  </si>
  <si>
    <t xml:space="preserve">Semiconductor Equip</t>
  </si>
  <si>
    <t xml:space="preserve">Shipbuilding &amp; Marine</t>
  </si>
  <si>
    <t xml:space="preserve">Software (Entertainment)</t>
  </si>
  <si>
    <t xml:space="preserve">Software (Internet)</t>
  </si>
  <si>
    <t xml:space="preserve">Software (System &amp; Application)</t>
  </si>
  <si>
    <t xml:space="preserve">Steel</t>
  </si>
  <si>
    <t xml:space="preserve">Telecom (Wireless)</t>
  </si>
  <si>
    <t xml:space="preserve">Transportation (Railroads)</t>
  </si>
  <si>
    <t xml:space="preserve">Trucking</t>
  </si>
  <si>
    <t xml:space="preserve">Utility (General)</t>
  </si>
  <si>
    <t xml:space="preserve">Utility (Water)</t>
  </si>
  <si>
    <t xml:space="preserve">Total Market</t>
  </si>
  <si>
    <t xml:space="preserve">Total Market (without financials)</t>
  </si>
  <si>
    <t xml:space="preserve">Revenue Growth Rate = Last 3 years</t>
  </si>
  <si>
    <t xml:space="preserve">Pre-tax Operating Margin</t>
  </si>
  <si>
    <t xml:space="preserve">Sales to Invested Capital</t>
  </si>
  <si>
    <t xml:space="preserve">Beta</t>
  </si>
  <si>
    <t xml:space="preserve">Debt to Capital Ratio</t>
  </si>
  <si>
    <t xml:space="preserve">Industry Group</t>
  </si>
  <si>
    <t xml:space="preserve">count</t>
  </si>
  <si>
    <t xml:space="preserve">First Quartlie</t>
  </si>
  <si>
    <t xml:space="preserve">If you are midway through a year, and want to compute updated trailing twelve month numbers, this worksheet may help. You will need your most recent quartely financials (or 10Q) as well as your most recent annual (or 10K). </t>
  </si>
  <si>
    <t xml:space="preserve">Last Annual</t>
  </si>
  <si>
    <t xml:space="preserve">First X months: Last year</t>
  </si>
  <si>
    <t xml:space="preserve">First X months: Current year</t>
  </si>
  <si>
    <t xml:space="preserve">Trailing 12 month</t>
  </si>
  <si>
    <t xml:space="preserve">Research and development</t>
  </si>
  <si>
    <t xml:space="preserve">Operating income or EBIT (non-GAAP less SBC)</t>
  </si>
  <si>
    <t xml:space="preserve">Interest expenses (FY25 cash interest; 9M not disclosed)</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</si>
  <si>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</si>
  <si>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</si>
  <si>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</si>
  <si>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</si>
  <si>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</si>
  <si>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</si>
  <si>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</si>
  <si>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</si>
  <si>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Beyond year 5</t>
  </si>
  <si>
    <t xml:space="preserve">Current year's lease expense</t>
  </si>
  <si>
    <t xml:space="preserve">G&amp;A</t>
  </si>
  <si>
    <t xml:space="preserve">Marketing Costs</t>
  </si>
  <si>
    <t xml:space="preserve">Content Costs</t>
  </si>
  <si>
    <t xml:space="preserve">Content Costs (Cash Flows)</t>
  </si>
  <si>
    <t xml:space="preserve">Yes/No</t>
  </si>
  <si>
    <t xml:space="preserve">Book or Market Value</t>
  </si>
  <si>
    <t xml:space="preserve">ERP choices</t>
  </si>
  <si>
    <t xml:space="preserve">Cost of debt</t>
  </si>
  <si>
    <t xml:space="preserve">Synthetic rating</t>
  </si>
  <si>
    <t xml:space="preserve">Cost of Capital Approach</t>
  </si>
  <si>
    <t xml:space="preserve">Reinvestment lag</t>
  </si>
  <si>
    <t xml:space="preserve">Will input</t>
  </si>
  <si>
    <t xml:space="preserve">Direct input</t>
  </si>
  <si>
    <t xml:space="preserve">I will input</t>
  </si>
  <si>
    <t xml:space="preserve">Single Business(US)</t>
  </si>
  <si>
    <t xml:space="preserve">Operating countries</t>
  </si>
  <si>
    <t xml:space="preserve">Single Business(Global)</t>
  </si>
  <si>
    <t xml:space="preserve">Distribution</t>
  </si>
  <si>
    <t xml:space="preserve">Multibusiness(Global)</t>
  </si>
</sst>
</file>

<file path=xl/styles.xml><?xml version="1.0" encoding="utf-8"?>
<styleSheet xmlns="http://schemas.openxmlformats.org/spreadsheetml/2006/main">
  <numFmts count="25">
    <numFmt numFmtId="164" formatCode="General"/>
    <numFmt numFmtId="165" formatCode="0.00"/>
    <numFmt numFmtId="166" formatCode="0.00%"/>
    <numFmt numFmtId="167" formatCode="mmm\-yy"/>
    <numFmt numFmtId="168" formatCode="_(\$* #,##0.00_);_(\$* \(#,##0.00\);_(\$* \-??_);_(@_)"/>
    <numFmt numFmtId="169" formatCode="_(\$* #,##0_);_(\$* \(#,##0\);_(\$* \-??_);_(@_)"/>
    <numFmt numFmtId="170" formatCode="\$#,##0.00"/>
    <numFmt numFmtId="171" formatCode="0%"/>
    <numFmt numFmtId="172" formatCode="0"/>
    <numFmt numFmtId="173" formatCode="0.0000"/>
    <numFmt numFmtId="174" formatCode="\$#,##0.00_);[RED]&quot;($&quot;#,##0.00\)"/>
    <numFmt numFmtId="175" formatCode="_(* #,##0.00_);_(* \(#,##0.00\);_(* \-??_);_(@_)"/>
    <numFmt numFmtId="176" formatCode="d\-mmm"/>
    <numFmt numFmtId="177" formatCode="0.0%"/>
    <numFmt numFmtId="178" formatCode="[$₩-412]#,##0.00"/>
    <numFmt numFmtId="179" formatCode="\$#,##0"/>
    <numFmt numFmtId="180" formatCode="#,##0.00"/>
    <numFmt numFmtId="181" formatCode="#,##0"/>
    <numFmt numFmtId="182" formatCode="#,##0.0000"/>
    <numFmt numFmtId="183" formatCode="\$#,##0_);[RED]&quot;($&quot;#,##0\)"/>
    <numFmt numFmtId="184" formatCode="_(* #,##0.0_);_(* \(#,##0.0\)_)\ ;_(* 0_)"/>
    <numFmt numFmtId="185" formatCode="0.0000%"/>
    <numFmt numFmtId="186" formatCode="0.000%"/>
    <numFmt numFmtId="187" formatCode="_([$$-409]* #,##0.00_);_([$$-409]* \(#,##0.00\);_([$$-409]* \-??_);_(@_)"/>
    <numFmt numFmtId="188" formatCode="#,##0.00%"/>
  </numFmts>
  <fonts count="83">
    <font>
      <sz val="9"/>
      <name val="Geneva"/>
      <family val="2"/>
      <charset val="1"/>
    </font>
    <font>
      <sz val="10"/>
      <name val="Arial"/>
      <family val="0"/>
    </font>
    <font>
      <sz val="10"/>
      <name val="Arial"/>
      <family val="0"/>
    </font>
    <font>
      <sz val="10"/>
      <name val="Arial"/>
      <family val="0"/>
    </font>
    <font>
      <b val="true"/>
      <sz val="14"/>
      <color rgb="FF135927"/>
      <name val="Cambria"/>
      <family val="0"/>
      <charset val="1"/>
    </font>
    <font>
      <i val="true"/>
      <sz val="11"/>
      <color rgb="FF5A6660"/>
      <name val="Cambria"/>
      <family val="0"/>
      <charset val="1"/>
    </font>
    <font>
      <b val="true"/>
      <sz val="11"/>
      <color rgb="FFFFFFFF"/>
      <name val="Cambria"/>
      <family val="0"/>
      <charset val="1"/>
    </font>
    <font>
      <b val="true"/>
      <sz val="11"/>
      <color rgb="FF135927"/>
      <name val="Cambria"/>
      <family val="0"/>
      <charset val="1"/>
    </font>
    <font>
      <sz val="9"/>
      <name val="Arial"/>
      <family val="0"/>
      <charset val="1"/>
    </font>
    <font>
      <sz val="12"/>
      <name val="Arial"/>
      <family val="2"/>
      <charset val="1"/>
    </font>
    <font>
      <sz val="12"/>
      <name val="Arial"/>
      <family val="0"/>
      <charset val="1"/>
    </font>
    <font>
      <b val="true"/>
      <sz val="12"/>
      <name val="Arial"/>
      <family val="0"/>
      <charset val="1"/>
    </font>
    <font>
      <sz val="12"/>
      <color theme="0"/>
      <name val="Arial"/>
      <family val="0"/>
      <charset val="1"/>
    </font>
    <font>
      <b val="true"/>
      <sz val="12"/>
      <color theme="1"/>
      <name val="Arial"/>
      <family val="0"/>
      <charset val="1"/>
    </font>
    <font>
      <u val="single"/>
      <sz val="12"/>
      <color theme="1"/>
      <name val="Calibri"/>
      <family val="2"/>
      <charset val="1"/>
    </font>
    <font>
      <i val="true"/>
      <sz val="12"/>
      <name val="Arial"/>
      <family val="0"/>
      <charset val="1"/>
    </font>
    <font>
      <i val="true"/>
      <sz val="12"/>
      <color rgb="FFFF0000"/>
      <name val="Arial"/>
      <family val="0"/>
      <charset val="1"/>
    </font>
    <font>
      <sz val="12"/>
      <color theme="1"/>
      <name val="Arial"/>
      <family val="0"/>
      <charset val="1"/>
    </font>
    <font>
      <sz val="12"/>
      <name val="Geneva"/>
      <family val="2"/>
      <charset val="1"/>
    </font>
    <font>
      <b val="true"/>
      <i val="true"/>
      <sz val="12"/>
      <name val="Arial"/>
      <family val="0"/>
      <charset val="1"/>
    </font>
    <font>
      <sz val="10"/>
      <name val="Arial"/>
      <family val="2"/>
    </font>
    <font>
      <sz val="12"/>
      <name val="Times New Roman"/>
      <family val="1"/>
      <charset val="1"/>
    </font>
    <font>
      <i val="true"/>
      <sz val="12"/>
      <name val="Times New Roman"/>
      <family val="1"/>
      <charset val="1"/>
    </font>
    <font>
      <sz val="12"/>
      <color theme="0"/>
      <name val="Times New Roman"/>
      <family val="1"/>
      <charset val="1"/>
    </font>
    <font>
      <sz val="9"/>
      <color theme="0"/>
      <name val="Geneva"/>
      <family val="2"/>
      <charset val="1"/>
    </font>
    <font>
      <sz val="12"/>
      <color rgb="FFFF0000"/>
      <name val="Times New Roman"/>
      <family val="1"/>
      <charset val="1"/>
    </font>
    <font>
      <b val="true"/>
      <i val="true"/>
      <u val="single"/>
      <sz val="12"/>
      <name val="Times New Roman"/>
      <family val="1"/>
      <charset val="1"/>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family val="2"/>
      <charset val="1"/>
    </font>
    <font>
      <i val="true"/>
      <sz val="12"/>
      <color theme="1"/>
      <name val="Calibri"/>
      <family val="2"/>
      <charset val="1"/>
    </font>
    <font>
      <sz val="12"/>
      <color rgb="FFFF0000"/>
      <name val="Calibri"/>
      <family val="2"/>
      <charset val="1"/>
    </font>
    <font>
      <sz val="12"/>
      <color theme="0"/>
      <name val="Calibri"/>
      <family val="2"/>
      <charset val="1"/>
    </font>
    <font>
      <i val="true"/>
      <sz val="12"/>
      <color rgb="FF000000"/>
      <name val="Arial"/>
      <family val="2"/>
      <charset val="1"/>
    </font>
    <font>
      <sz val="10"/>
      <name val="Arial"/>
      <family val="2"/>
      <charset val="1"/>
    </font>
    <font>
      <i val="true"/>
      <sz val="10"/>
      <name val="Arial"/>
      <family val="2"/>
      <charset val="1"/>
    </font>
    <font>
      <i val="true"/>
      <sz val="9"/>
      <name val="Geneva"/>
      <family val="2"/>
      <charset val="1"/>
    </font>
    <font>
      <b val="true"/>
      <sz val="12"/>
      <name val="Arial"/>
      <family val="2"/>
      <charset val="1"/>
    </font>
    <font>
      <b val="true"/>
      <sz val="10"/>
      <name val="Arial"/>
      <family val="2"/>
      <charset val="1"/>
    </font>
    <font>
      <i val="true"/>
      <sz val="12"/>
      <name val="Arial"/>
      <family val="2"/>
      <charset val="1"/>
    </font>
    <font>
      <sz val="12"/>
      <color theme="0"/>
      <name val="Arial"/>
      <family val="2"/>
      <charset val="1"/>
    </font>
    <font>
      <sz val="12"/>
      <color rgb="FFFF0000"/>
      <name val="Arial"/>
      <family val="2"/>
      <charset val="1"/>
    </font>
    <font>
      <sz val="10"/>
      <name val="Times New Roman"/>
      <family val="1"/>
      <charset val="1"/>
    </font>
    <font>
      <b val="true"/>
      <i val="true"/>
      <sz val="10"/>
      <name val="Arial"/>
      <family val="2"/>
      <charset val="1"/>
    </font>
    <font>
      <sz val="10"/>
      <color theme="0"/>
      <name val="Arial"/>
      <family val="2"/>
      <charset val="1"/>
    </font>
    <font>
      <b val="true"/>
      <sz val="14"/>
      <name val="Arial"/>
      <family val="2"/>
      <charset val="1"/>
    </font>
    <font>
      <sz val="9"/>
      <name val="Arial"/>
      <family val="2"/>
      <charset val="1"/>
    </font>
    <font>
      <b val="true"/>
      <i val="true"/>
      <sz val="12"/>
      <name val="Arial"/>
      <family val="2"/>
      <charset val="1"/>
    </font>
    <font>
      <i val="true"/>
      <sz val="12"/>
      <name val="Geneva"/>
      <family val="2"/>
      <charset val="1"/>
    </font>
    <font>
      <sz val="10"/>
      <name val="Geneva"/>
      <family val="2"/>
      <charset val="1"/>
    </font>
    <font>
      <i val="true"/>
      <sz val="10"/>
      <name val="Times New Roman"/>
      <family val="1"/>
      <charset val="1"/>
    </font>
    <font>
      <b val="true"/>
      <sz val="12"/>
      <color rgb="FF0A0A0A"/>
      <name val="Arial"/>
      <family val="2"/>
      <charset val="1"/>
    </font>
    <font>
      <sz val="12"/>
      <color rgb="FF0A0A0A"/>
      <name val="Arial"/>
      <family val="2"/>
      <charset val="1"/>
    </font>
    <font>
      <sz val="10"/>
      <name val="Calibri"/>
      <family val="2"/>
      <charset val="1"/>
    </font>
    <font>
      <b val="true"/>
      <sz val="14"/>
      <name val="Times New Roman"/>
      <family val="1"/>
      <charset val="1"/>
    </font>
    <font>
      <b val="true"/>
      <sz val="9"/>
      <name val="Arial"/>
      <family val="2"/>
      <charset val="1"/>
    </font>
    <font>
      <b val="true"/>
      <sz val="10"/>
      <name val="Times New Roman"/>
      <family val="1"/>
      <charset val="1"/>
    </font>
    <font>
      <sz val="10"/>
      <name val="Times New Roman"/>
      <family val="0"/>
      <charset val="1"/>
    </font>
    <font>
      <sz val="8"/>
      <name val="Arial"/>
      <family val="2"/>
      <charset val="1"/>
    </font>
    <font>
      <b val="true"/>
      <sz val="12"/>
      <name val="Times New Roman"/>
      <family val="1"/>
      <charset val="1"/>
    </font>
    <font>
      <b val="true"/>
      <i val="true"/>
      <sz val="14"/>
      <name val="Times New Roman"/>
      <family val="1"/>
      <charset val="1"/>
    </font>
    <font>
      <b val="true"/>
      <i val="true"/>
      <sz val="12"/>
      <name val="Times New Roman"/>
      <family val="1"/>
      <charset val="1"/>
    </font>
    <font>
      <sz val="12"/>
      <name val="Times New Roman"/>
      <family val="0"/>
      <charset val="1"/>
    </font>
    <font>
      <b val="true"/>
      <i val="true"/>
      <sz val="10"/>
      <name val="Times New Roman"/>
      <family val="1"/>
      <charset val="1"/>
    </font>
    <font>
      <i val="true"/>
      <sz val="14"/>
      <name val="Times New Roman"/>
      <family val="0"/>
      <charset val="1"/>
    </font>
    <font>
      <i val="true"/>
      <sz val="14"/>
      <name val="Times New Roman"/>
      <family val="1"/>
      <charset val="1"/>
    </font>
    <font>
      <b val="true"/>
      <i val="true"/>
      <sz val="18"/>
      <name val="Arial"/>
      <family val="2"/>
      <charset val="1"/>
    </font>
    <font>
      <b val="true"/>
      <i val="true"/>
      <sz val="14"/>
      <name val="Arial"/>
      <family val="2"/>
      <charset val="1"/>
    </font>
    <font>
      <b val="true"/>
      <sz val="10"/>
      <name val="Geneva"/>
      <family val="2"/>
      <charset val="1"/>
    </font>
    <font>
      <sz val="12"/>
      <color theme="1"/>
      <name val="Times New Roman"/>
      <family val="0"/>
      <charset val="1"/>
    </font>
    <font>
      <i val="true"/>
      <sz val="12"/>
      <color theme="1"/>
      <name val="Times New Roman"/>
      <family val="0"/>
      <charset val="1"/>
    </font>
    <font>
      <b val="true"/>
      <sz val="14"/>
      <color theme="1"/>
      <name val="Times New Roman"/>
      <family val="0"/>
      <charset val="1"/>
    </font>
    <font>
      <i val="true"/>
      <sz val="10"/>
      <name val="Geneva"/>
      <family val="2"/>
      <charset val="1"/>
    </font>
    <font>
      <i val="true"/>
      <sz val="12"/>
      <name val="Calibri"/>
      <family val="2"/>
      <charset val="1"/>
    </font>
    <font>
      <sz val="12"/>
      <color theme="1"/>
      <name val="Arial"/>
      <family val="2"/>
      <charset val="1"/>
    </font>
    <font>
      <sz val="12"/>
      <color rgb="FF000000"/>
      <name val="Calibri"/>
      <family val="2"/>
      <charset val="1"/>
    </font>
    <font>
      <sz val="9"/>
      <color theme="1"/>
      <name val="Geneva"/>
      <family val="2"/>
      <charset val="1"/>
    </font>
    <font>
      <sz val="10"/>
      <color rgb="FF000000"/>
      <name val="Arial"/>
      <family val="2"/>
      <charset val="1"/>
    </font>
    <font>
      <sz val="10"/>
      <name val="Arial"/>
      <family val="0"/>
      <charset val="1"/>
    </font>
    <font>
      <i val="true"/>
      <sz val="10"/>
      <name val="Arial"/>
      <family val="0"/>
      <charset val="1"/>
    </font>
    <font>
      <b val="true"/>
      <sz val="9"/>
      <name val="Geneva"/>
      <family val="2"/>
      <charset val="1"/>
    </font>
  </fonts>
  <fills count="11">
    <fill>
      <patternFill patternType="none"/>
    </fill>
    <fill>
      <patternFill patternType="gray125"/>
    </fill>
    <fill>
      <patternFill patternType="solid">
        <fgColor rgb="FF135927"/>
        <bgColor rgb="FF333333"/>
      </patternFill>
    </fill>
    <fill>
      <patternFill patternType="solid">
        <fgColor rgb="FFFFFF00"/>
        <bgColor rgb="FFFCF305"/>
      </patternFill>
    </fill>
    <fill>
      <patternFill patternType="solid">
        <fgColor rgb="FFCCFFCC"/>
        <bgColor rgb="FFCCFFFF"/>
      </patternFill>
    </fill>
    <fill>
      <patternFill patternType="solid">
        <fgColor theme="1"/>
        <bgColor rgb="FF0A0A0A"/>
      </patternFill>
    </fill>
    <fill>
      <patternFill patternType="solid">
        <fgColor theme="2"/>
        <bgColor rgb="FFD9D9D9"/>
      </patternFill>
    </fill>
    <fill>
      <patternFill patternType="solid">
        <fgColor rgb="FFFFFFFF"/>
        <bgColor rgb="FFEEECE1"/>
      </patternFill>
    </fill>
    <fill>
      <patternFill patternType="solid">
        <fgColor rgb="FF92D050"/>
        <bgColor rgb="FFC0C0C0"/>
      </patternFill>
    </fill>
    <fill>
      <patternFill patternType="solid">
        <fgColor rgb="FFFCF305"/>
        <bgColor rgb="FFFFFF00"/>
      </patternFill>
    </fill>
    <fill>
      <patternFill patternType="solid">
        <fgColor theme="0" tint="-0.15"/>
        <bgColor rgb="FFEEECE1"/>
      </patternFill>
    </fill>
  </fills>
  <borders count="52">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color theme="1"/>
      </left>
      <right style="medium">
        <color theme="1"/>
      </right>
      <top style="medium">
        <color theme="1"/>
      </top>
      <bottom style="medium">
        <color theme="1"/>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color theme="1"/>
      </left>
      <right style="medium">
        <color theme="1"/>
      </right>
      <top style="medium">
        <color theme="1"/>
      </top>
      <bottom/>
      <diagonal/>
    </border>
    <border diagonalUp="false" diagonalDown="false">
      <left style="medium">
        <color theme="1"/>
      </left>
      <right/>
      <top/>
      <bottom/>
      <diagonal/>
    </border>
    <border diagonalUp="false" diagonalDown="false">
      <left/>
      <right style="medium">
        <color theme="1"/>
      </right>
      <top/>
      <bottom/>
      <diagonal/>
    </border>
    <border diagonalUp="false" diagonalDown="false">
      <left style="thin">
        <color theme="0"/>
      </left>
      <right style="thin">
        <color theme="0"/>
      </right>
      <top style="thin">
        <color theme="0"/>
      </top>
      <bottom style="thin">
        <color theme="0"/>
      </bottom>
      <diagonal/>
    </border>
    <border diagonalUp="false" diagonalDown="false">
      <left style="thin"/>
      <right style="medium">
        <color theme="1"/>
      </right>
      <top style="thin"/>
      <bottom style="thin"/>
      <diagonal/>
    </border>
    <border diagonalUp="false" diagonalDown="false">
      <left style="thin"/>
      <right style="medium">
        <color theme="1"/>
      </right>
      <top/>
      <bottom style="thin"/>
      <diagonal/>
    </border>
    <border diagonalUp="false" diagonalDown="false">
      <left style="medium">
        <color theme="1"/>
      </left>
      <right/>
      <top/>
      <bottom style="medium">
        <color theme="1"/>
      </bottom>
      <diagonal/>
    </border>
    <border diagonalUp="false" diagonalDown="false">
      <left/>
      <right/>
      <top/>
      <bottom style="medium">
        <color theme="1"/>
      </bottom>
      <diagonal/>
    </border>
    <border diagonalUp="false" diagonalDown="false">
      <left/>
      <right style="thin"/>
      <top style="thin"/>
      <bottom style="medium">
        <color theme="1"/>
      </bottom>
      <diagonal/>
    </border>
    <border diagonalUp="false" diagonalDown="false">
      <left style="thin"/>
      <right style="thin"/>
      <top style="thin"/>
      <bottom style="medium">
        <color theme="1"/>
      </bottom>
      <diagonal/>
    </border>
    <border diagonalUp="false" diagonalDown="false">
      <left style="thin"/>
      <right style="medium">
        <color theme="1"/>
      </right>
      <top style="thin"/>
      <bottom style="medium">
        <color theme="1"/>
      </bottom>
      <diagonal/>
    </border>
    <border diagonalUp="false" diagonalDown="false">
      <left style="thin"/>
      <right style="medium"/>
      <top/>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thin"/>
      <diagonal/>
    </border>
    <border diagonalUp="false" diagonalDown="false">
      <left/>
      <right/>
      <top style="medium"/>
      <bottom/>
      <diagonal/>
    </border>
    <border diagonalUp="false" diagonalDown="false">
      <left/>
      <right style="medium"/>
      <top style="medium"/>
      <bottom/>
      <diagonal/>
    </border>
    <border diagonalUp="false" diagonalDown="false">
      <left style="medium"/>
      <right/>
      <top style="thin"/>
      <bottom style="thin"/>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color theme="1"/>
      </left>
      <right style="thin"/>
      <top style="medium"/>
      <bottom style="medium"/>
      <diagonal/>
    </border>
    <border diagonalUp="false" diagonalDown="false">
      <left style="thin"/>
      <right style="medium"/>
      <top style="medium"/>
      <bottom style="thin"/>
      <diagonal/>
    </border>
    <border diagonalUp="false" diagonalDown="false">
      <left style="thin"/>
      <right style="medium"/>
      <top style="thin"/>
      <bottom/>
      <diagonal/>
    </border>
    <border diagonalUp="false" diagonalDown="false">
      <left style="medium"/>
      <right/>
      <top style="medium"/>
      <bottom/>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7" fontId="11" fillId="3" borderId="1" xfId="0" applyFont="true" applyBorder="true" applyAlignment="true" applyProtection="false">
      <alignment horizontal="center" vertical="bottom" textRotation="0" wrapText="false" indent="0" shrinkToFit="false"/>
      <protection locked="true" hidden="false"/>
    </xf>
    <xf numFmtId="164" fontId="12" fillId="5" borderId="2" xfId="0" applyFont="true" applyBorder="true" applyAlignment="true" applyProtection="false">
      <alignment horizontal="general" vertical="bottom" textRotation="0" wrapText="false" indent="0" shrinkToFit="false"/>
      <protection locked="true" hidden="false"/>
    </xf>
    <xf numFmtId="164" fontId="12" fillId="5" borderId="3" xfId="0" applyFont="true" applyBorder="true" applyAlignment="true" applyProtection="false">
      <alignment horizontal="general" vertical="bottom" textRotation="0" wrapText="false" indent="0" shrinkToFit="false"/>
      <protection locked="true" hidden="false"/>
    </xf>
    <xf numFmtId="164" fontId="12" fillId="5" borderId="4" xfId="0" applyFont="true" applyBorder="true" applyAlignment="true" applyProtection="false">
      <alignment horizontal="general" vertical="bottom" textRotation="0" wrapText="false" indent="0" shrinkToFit="false"/>
      <protection locked="true" hidden="false"/>
    </xf>
    <xf numFmtId="164" fontId="13" fillId="3" borderId="5" xfId="0" applyFont="true" applyBorder="true" applyAlignment="true" applyProtection="false">
      <alignment horizontal="center" vertical="bottom" textRotation="0" wrapText="false" indent="0" shrinkToFit="false"/>
      <protection locked="true" hidden="false"/>
    </xf>
    <xf numFmtId="164" fontId="12" fillId="5" borderId="6" xfId="0" applyFont="true" applyBorder="true" applyAlignment="true" applyProtection="false">
      <alignment horizontal="general" vertical="bottom" textRotation="0" wrapText="fals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4" fontId="12" fillId="5" borderId="7" xfId="0" applyFont="true" applyBorder="true" applyAlignment="true" applyProtection="false">
      <alignment horizontal="general" vertical="bottom" textRotation="0" wrapText="false" indent="0" shrinkToFit="false"/>
      <protection locked="true" hidden="false"/>
    </xf>
    <xf numFmtId="164" fontId="11" fillId="6" borderId="8" xfId="0" applyFont="true" applyBorder="true" applyAlignment="true" applyProtection="false">
      <alignment horizontal="center"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4" fontId="14" fillId="6" borderId="8"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center" vertical="bottom" textRotation="0" wrapText="false" indent="0" shrinkToFit="false"/>
      <protection locked="true" hidden="false"/>
    </xf>
    <xf numFmtId="164" fontId="15" fillId="0" borderId="5"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8" fontId="10" fillId="3" borderId="1" xfId="0" applyFont="true" applyBorder="true" applyAlignment="true" applyProtection="false">
      <alignment horizontal="center" vertical="bottom" textRotation="0" wrapText="false" indent="0" shrinkToFit="false"/>
      <protection locked="true" hidden="false"/>
    </xf>
    <xf numFmtId="168" fontId="10" fillId="3" borderId="9" xfId="0" applyFont="true" applyBorder="true" applyAlignment="true" applyProtection="false">
      <alignment horizontal="center" vertical="bottom" textRotation="0" wrapText="false" indent="0" shrinkToFit="false"/>
      <protection locked="true" hidden="false"/>
    </xf>
    <xf numFmtId="165" fontId="10" fillId="3" borderId="1" xfId="0" applyFont="true" applyBorder="true" applyAlignment="true" applyProtection="false">
      <alignment horizontal="center" vertical="center" textRotation="0" wrapText="false" indent="0" shrinkToFit="false"/>
      <protection locked="true" hidden="false"/>
    </xf>
    <xf numFmtId="168" fontId="10" fillId="3" borderId="10" xfId="0" applyFont="true" applyBorder="true" applyAlignment="true" applyProtection="false">
      <alignment horizontal="center" vertical="bottom" textRotation="0" wrapText="false" indent="0" shrinkToFit="false"/>
      <protection locked="true" hidden="false"/>
    </xf>
    <xf numFmtId="168" fontId="16" fillId="7" borderId="10" xfId="0" applyFont="true" applyBorder="tru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8" fontId="10" fillId="3" borderId="11" xfId="0" applyFont="true" applyBorder="true" applyAlignment="true" applyProtection="false">
      <alignment horizontal="center" vertical="bottom" textRotation="0" wrapText="false" indent="0" shrinkToFit="false"/>
      <protection locked="true" hidden="false"/>
    </xf>
    <xf numFmtId="165" fontId="10" fillId="3" borderId="11" xfId="0" applyFont="true" applyBorder="true" applyAlignment="true" applyProtection="false">
      <alignment horizontal="center" vertical="bottom" textRotation="0" wrapText="false" indent="0" shrinkToFit="false"/>
      <protection locked="true" hidden="false"/>
    </xf>
    <xf numFmtId="164" fontId="11" fillId="0" borderId="12" xfId="0" applyFont="true" applyBorder="true" applyAlignment="true" applyProtection="false">
      <alignment horizontal="center" vertical="bottom" textRotation="0" wrapText="false" indent="0" shrinkToFit="false"/>
      <protection locked="true" hidden="false"/>
    </xf>
    <xf numFmtId="164" fontId="15" fillId="0" borderId="13" xfId="0" applyFont="true" applyBorder="true" applyAlignment="true" applyProtection="false">
      <alignment horizontal="general" vertical="bottom" textRotation="0" wrapText="false" indent="0" shrinkToFit="false"/>
      <protection locked="true" hidden="false"/>
    </xf>
    <xf numFmtId="164" fontId="10" fillId="0" borderId="14" xfId="0" applyFont="true" applyBorder="true" applyAlignment="true" applyProtection="false">
      <alignment horizontal="general" vertical="bottom" textRotation="0" wrapText="false" indent="0" shrinkToFit="false"/>
      <protection locked="true" hidden="false"/>
    </xf>
    <xf numFmtId="166" fontId="10" fillId="3" borderId="1" xfId="0" applyFont="true" applyBorder="true" applyAlignment="true" applyProtection="false">
      <alignment horizontal="center" vertical="bottom" textRotation="0" wrapText="false" indent="0" shrinkToFit="false"/>
      <protection locked="true" hidden="false"/>
    </xf>
    <xf numFmtId="164" fontId="11" fillId="0" borderId="13" xfId="0" applyFont="true" applyBorder="tru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4" fontId="12" fillId="5" borderId="15" xfId="0" applyFont="true" applyBorder="true" applyAlignment="true" applyProtection="false">
      <alignment horizontal="center" vertical="bottom" textRotation="0" wrapText="false" indent="0" shrinkToFit="false"/>
      <protection locked="true" hidden="false"/>
    </xf>
    <xf numFmtId="164" fontId="15" fillId="0" borderId="10" xfId="0" applyFont="true" applyBorder="true" applyAlignment="true" applyProtection="false">
      <alignment horizontal="center" vertical="bottom" textRotation="0" wrapText="false" indent="0" shrinkToFit="false"/>
      <protection locked="true" hidden="false"/>
    </xf>
    <xf numFmtId="164" fontId="15" fillId="0" borderId="16" xfId="0" applyFont="true" applyBorder="true" applyAlignment="true" applyProtection="false">
      <alignment horizontal="center" vertical="bottom" textRotation="0" wrapText="false" indent="0" shrinkToFit="false"/>
      <protection locked="true" hidden="false"/>
    </xf>
    <xf numFmtId="168" fontId="10" fillId="0" borderId="0" xfId="0" applyFont="true" applyBorder="false" applyAlignment="true" applyProtection="false">
      <alignment horizontal="center" vertical="bottom" textRotation="0" wrapText="false" indent="0" shrinkToFit="false"/>
      <protection locked="true" hidden="false"/>
    </xf>
    <xf numFmtId="164" fontId="10" fillId="0" borderId="13" xfId="0" applyFont="true" applyBorder="true" applyAlignment="true" applyProtection="false">
      <alignment horizontal="general" vertical="bottom" textRotation="0" wrapText="false" indent="0" shrinkToFit="false"/>
      <protection locked="true" hidden="false"/>
    </xf>
    <xf numFmtId="166" fontId="12" fillId="5" borderId="15" xfId="0" applyFont="true" applyBorder="true" applyAlignment="true" applyProtection="false">
      <alignment horizontal="center" vertical="bottom" textRotation="0" wrapText="false" indent="0" shrinkToFit="false"/>
      <protection locked="true" hidden="false"/>
    </xf>
    <xf numFmtId="166" fontId="10" fillId="4" borderId="10" xfId="0" applyFont="true" applyBorder="true" applyAlignment="true" applyProtection="false">
      <alignment horizontal="center" vertical="bottom" textRotation="0" wrapText="false" indent="0" shrinkToFit="false"/>
      <protection locked="true" hidden="false"/>
    </xf>
    <xf numFmtId="166" fontId="10" fillId="4" borderId="1" xfId="0" applyFont="true" applyBorder="true" applyAlignment="true" applyProtection="false">
      <alignment horizontal="center" vertical="bottom" textRotation="0" wrapText="false" indent="0" shrinkToFit="false"/>
      <protection locked="true" hidden="false"/>
    </xf>
    <xf numFmtId="166" fontId="10" fillId="4" borderId="11" xfId="0" applyFont="true" applyBorder="true" applyAlignment="true" applyProtection="false">
      <alignment horizontal="center" vertical="bottom" textRotation="0" wrapText="false" indent="0" shrinkToFit="false"/>
      <protection locked="true" hidden="false"/>
    </xf>
    <xf numFmtId="166" fontId="10" fillId="4" borderId="17" xfId="0" applyFont="true" applyBorder="true" applyAlignment="true" applyProtection="false">
      <alignment horizontal="center"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66" fontId="17" fillId="3" borderId="1" xfId="0" applyFont="true" applyBorder="true" applyAlignment="true" applyProtection="false">
      <alignment horizontal="center" vertical="bottom" textRotation="0" wrapText="false" indent="0" shrinkToFit="false"/>
      <protection locked="true" hidden="false"/>
    </xf>
    <xf numFmtId="166" fontId="10" fillId="4" borderId="16" xfId="0" applyFont="true" applyBorder="true" applyAlignment="true" applyProtection="false">
      <alignment horizontal="center" vertical="bottom" textRotation="0" wrapText="false" indent="0" shrinkToFit="false"/>
      <protection locked="true" hidden="false"/>
    </xf>
    <xf numFmtId="165" fontId="12" fillId="5" borderId="15" xfId="0" applyFont="true" applyBorder="true" applyAlignment="true" applyProtection="false">
      <alignment horizontal="center" vertical="bottom" textRotation="0" wrapText="false" indent="0" shrinkToFit="false"/>
      <protection locked="true" hidden="false"/>
    </xf>
    <xf numFmtId="165" fontId="10" fillId="4" borderId="10" xfId="0" applyFont="true" applyBorder="true" applyAlignment="true" applyProtection="false">
      <alignment horizontal="center" vertical="bottom" textRotation="0" wrapText="false" indent="0" shrinkToFit="false"/>
      <protection locked="true" hidden="false"/>
    </xf>
    <xf numFmtId="165" fontId="10" fillId="4" borderId="1" xfId="0" applyFont="true" applyBorder="true" applyAlignment="true" applyProtection="false">
      <alignment horizontal="center" vertical="bottom" textRotation="0" wrapText="false" indent="0" shrinkToFit="false"/>
      <protection locked="true" hidden="false"/>
    </xf>
    <xf numFmtId="165" fontId="10" fillId="4" borderId="16" xfId="0" applyFont="true" applyBorder="true" applyAlignment="true" applyProtection="false">
      <alignment horizontal="center" vertical="bottom" textRotation="0" wrapText="false" indent="0" shrinkToFit="false"/>
      <protection locked="true" hidden="false"/>
    </xf>
    <xf numFmtId="165" fontId="10" fillId="0" borderId="10"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5" fontId="10" fillId="0" borderId="14" xfId="0" applyFont="true" applyBorder="true" applyAlignment="true" applyProtection="false">
      <alignment horizontal="center" vertical="bottom" textRotation="0" wrapText="false" indent="0" shrinkToFit="false"/>
      <protection locked="true" hidden="false"/>
    </xf>
    <xf numFmtId="164" fontId="0" fillId="0" borderId="14" xfId="0" applyFont="false" applyBorder="true" applyAlignment="tru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center" vertical="bottom" textRotation="0" wrapText="false" indent="0" shrinkToFit="false"/>
      <protection locked="true" hidden="false"/>
    </xf>
    <xf numFmtId="166" fontId="12" fillId="5" borderId="15" xfId="0" applyFont="true" applyBorder="true" applyAlignment="true" applyProtection="false">
      <alignment horizontal="general" vertical="bottom" textRotation="0" wrapText="false" indent="0" shrinkToFit="false"/>
      <protection locked="true" hidden="false"/>
    </xf>
    <xf numFmtId="164" fontId="10" fillId="0" borderId="18" xfId="0" applyFont="true" applyBorder="true" applyAlignment="true" applyProtection="false">
      <alignment horizontal="general" vertical="bottom" textRotation="0" wrapText="false" indent="0" shrinkToFit="false"/>
      <protection locked="true" hidden="false"/>
    </xf>
    <xf numFmtId="164" fontId="10" fillId="0" borderId="19" xfId="0" applyFont="true" applyBorder="true" applyAlignment="true" applyProtection="false">
      <alignment horizontal="general" vertical="bottom" textRotation="0" wrapText="false" indent="0" shrinkToFit="false"/>
      <protection locked="true" hidden="false"/>
    </xf>
    <xf numFmtId="166" fontId="10" fillId="4" borderId="20" xfId="0" applyFont="true" applyBorder="true" applyAlignment="true" applyProtection="false">
      <alignment horizontal="center" vertical="bottom" textRotation="0" wrapText="false" indent="0" shrinkToFit="false"/>
      <protection locked="true" hidden="false"/>
    </xf>
    <xf numFmtId="166" fontId="10" fillId="4" borderId="21" xfId="0" applyFont="true" applyBorder="true" applyAlignment="true" applyProtection="false">
      <alignment horizontal="center" vertical="bottom" textRotation="0" wrapText="false" indent="0" shrinkToFit="false"/>
      <protection locked="true" hidden="false"/>
    </xf>
    <xf numFmtId="166" fontId="10" fillId="4" borderId="22" xfId="0" applyFont="true" applyBorder="true" applyAlignment="true" applyProtection="false">
      <alignment horizontal="center"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4" fontId="11" fillId="0" borderId="12" xfId="0" applyFont="true" applyBorder="true" applyAlignment="true" applyProtection="false">
      <alignment horizontal="left" vertical="bottom" textRotation="0" wrapText="false" indent="0" shrinkToFit="false"/>
      <protection locked="true" hidden="false"/>
    </xf>
    <xf numFmtId="169" fontId="10" fillId="4"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6" fontId="10" fillId="4" borderId="1" xfId="0" applyFont="true" applyBorder="true" applyAlignment="true" applyProtection="false">
      <alignment horizontal="center" vertical="center" textRotation="0" wrapText="false" indent="0" shrinkToFit="false"/>
      <protection locked="true" hidden="false"/>
    </xf>
    <xf numFmtId="164" fontId="16" fillId="0" borderId="23" xfId="0" applyFont="true" applyBorder="true" applyAlignment="true" applyProtection="false">
      <alignment horizontal="center" vertical="bottom" textRotation="0" wrapText="true" indent="0" shrinkToFit="false"/>
      <protection locked="true" hidden="false"/>
    </xf>
    <xf numFmtId="166" fontId="10" fillId="7" borderId="0" xfId="0" applyFont="true" applyBorder="false" applyAlignment="true" applyProtection="false">
      <alignment horizontal="center" vertical="bottom" textRotation="0" wrapText="false" indent="0" shrinkToFit="false"/>
      <protection locked="true" hidden="false"/>
    </xf>
    <xf numFmtId="166" fontId="10" fillId="4" borderId="1"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18" xfId="0" applyFont="true" applyBorder="true" applyAlignment="true" applyProtection="false">
      <alignment horizontal="general" vertical="bottom" textRotation="0" wrapText="false" indent="0" shrinkToFit="false"/>
      <protection locked="true" hidden="false"/>
    </xf>
    <xf numFmtId="164" fontId="10" fillId="0" borderId="24" xfId="0" applyFont="true" applyBorder="true" applyAlignment="true" applyProtection="false">
      <alignment horizontal="general" vertical="bottom" textRotation="0" wrapText="false" indent="0" shrinkToFit="false"/>
      <protection locked="true" hidden="false"/>
    </xf>
    <xf numFmtId="170" fontId="10" fillId="3" borderId="1" xfId="0" applyFont="true" applyBorder="true" applyAlignment="true" applyProtection="false">
      <alignment horizontal="center" vertical="bottom" textRotation="0" wrapText="false" indent="0" shrinkToFit="false"/>
      <protection locked="true" hidden="false"/>
    </xf>
    <xf numFmtId="170" fontId="10"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19" fillId="7" borderId="0" xfId="0" applyFont="true" applyBorder="false" applyAlignment="true" applyProtection="false">
      <alignment horizontal="general" vertical="bottom" textRotation="0" wrapText="false" indent="0" shrinkToFit="false"/>
      <protection locked="true" hidden="false"/>
    </xf>
    <xf numFmtId="164" fontId="15" fillId="7" borderId="0" xfId="0" applyFont="true" applyBorder="false" applyAlignment="true" applyProtection="false">
      <alignment horizontal="general" vertical="bottom" textRotation="0" wrapText="false" indent="0" shrinkToFit="false"/>
      <protection locked="true" hidden="false"/>
    </xf>
    <xf numFmtId="171" fontId="10" fillId="3" borderId="1" xfId="0" applyFont="true" applyBorder="true" applyAlignment="true" applyProtection="false">
      <alignment horizontal="center" vertical="bottom" textRotation="0" wrapText="false" indent="0" shrinkToFit="false"/>
      <protection locked="true" hidden="false"/>
    </xf>
    <xf numFmtId="171" fontId="10" fillId="0" borderId="0" xfId="0" applyFont="true" applyBorder="false" applyAlignment="true" applyProtection="false">
      <alignment horizontal="center" vertical="bottom" textRotation="0" wrapText="false" indent="0" shrinkToFit="false"/>
      <protection locked="true" hidden="false"/>
    </xf>
    <xf numFmtId="172" fontId="10" fillId="3" borderId="1" xfId="0" applyFont="true" applyBorder="true" applyAlignment="true" applyProtection="false">
      <alignment horizontal="center" vertical="bottom" textRotation="0" wrapText="false" indent="0" shrinkToFit="false"/>
      <protection locked="true" hidden="false"/>
    </xf>
    <xf numFmtId="171" fontId="10" fillId="7" borderId="0" xfId="0" applyFont="true" applyBorder="false" applyAlignment="true" applyProtection="false">
      <alignment horizontal="center" vertical="bottom" textRotation="0" wrapText="false" indent="0" shrinkToFit="false"/>
      <protection locked="true" hidden="false"/>
    </xf>
    <xf numFmtId="170" fontId="10" fillId="6" borderId="0" xfId="0" applyFont="true" applyBorder="false" applyAlignment="true" applyProtection="false">
      <alignment horizontal="center" vertical="bottom" textRotation="0" wrapText="false" indent="0" shrinkToFit="false"/>
      <protection locked="true" hidden="false"/>
    </xf>
    <xf numFmtId="170" fontId="18" fillId="3" borderId="1" xfId="0" applyFont="true" applyBorder="true" applyAlignment="true" applyProtection="false">
      <alignment horizontal="center" vertical="bottom" textRotation="0" wrapText="false" indent="0" shrinkToFit="false"/>
      <protection locked="true" hidden="false"/>
    </xf>
    <xf numFmtId="164" fontId="8" fillId="7"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22" fillId="0" borderId="25" xfId="0" applyFont="true" applyBorder="true" applyAlignment="true" applyProtection="false">
      <alignment horizontal="center" vertical="bottom" textRotation="0" wrapText="false" indent="0" shrinkToFit="false"/>
      <protection locked="true" hidden="false"/>
    </xf>
    <xf numFmtId="164" fontId="22" fillId="0" borderId="1" xfId="0" applyFont="true" applyBorder="true" applyAlignment="true" applyProtection="false">
      <alignment horizontal="center" vertical="bottom" textRotation="0" wrapText="false" indent="0" shrinkToFit="false"/>
      <protection locked="true" hidden="false"/>
    </xf>
    <xf numFmtId="164" fontId="21" fillId="0" borderId="1" xfId="0" applyFont="true" applyBorder="true" applyAlignment="true" applyProtection="false">
      <alignment horizontal="center" vertical="bottom" textRotation="0" wrapText="false" indent="0" shrinkToFit="false"/>
      <protection locked="true" hidden="false"/>
    </xf>
    <xf numFmtId="164" fontId="21" fillId="4" borderId="1" xfId="0" applyFont="true" applyBorder="true" applyAlignment="true" applyProtection="false">
      <alignment horizontal="general" vertical="bottom" textRotation="0" wrapText="false" indent="0" shrinkToFit="false"/>
      <protection locked="true" hidden="false"/>
    </xf>
    <xf numFmtId="166" fontId="21" fillId="4" borderId="1" xfId="0" applyFont="true" applyBorder="true" applyAlignment="true" applyProtection="false">
      <alignment horizontal="center" vertical="bottom" textRotation="0" wrapText="false" indent="0" shrinkToFit="false"/>
      <protection locked="true" hidden="false"/>
    </xf>
    <xf numFmtId="168" fontId="21" fillId="4" borderId="1" xfId="0" applyFont="true" applyBorder="true" applyAlignment="true" applyProtection="false">
      <alignment horizontal="general" vertical="bottom" textRotation="0" wrapText="false" indent="0" shrinkToFit="false"/>
      <protection locked="true" hidden="false"/>
    </xf>
    <xf numFmtId="168" fontId="21" fillId="4" borderId="1" xfId="0" applyFont="true" applyBorder="true" applyAlignment="true" applyProtection="false">
      <alignment horizontal="center" vertical="bottom" textRotation="0" wrapText="false" indent="0" shrinkToFit="false"/>
      <protection locked="true" hidden="false"/>
    </xf>
    <xf numFmtId="168" fontId="23" fillId="5" borderId="1" xfId="0" applyFont="true" applyBorder="true" applyAlignment="true" applyProtection="false">
      <alignment horizontal="center" vertical="bottom" textRotation="0" wrapText="false" indent="0" shrinkToFit="false"/>
      <protection locked="true" hidden="false"/>
    </xf>
    <xf numFmtId="166" fontId="21" fillId="4" borderId="1" xfId="0" applyFont="true" applyBorder="true" applyAlignment="true" applyProtection="false">
      <alignment horizontal="general" vertical="bottom" textRotation="0" wrapText="false" indent="0" shrinkToFit="false"/>
      <protection locked="true" hidden="false"/>
    </xf>
    <xf numFmtId="168" fontId="24" fillId="5" borderId="1" xfId="0" applyFont="true" applyBorder="true" applyAlignment="true" applyProtection="false">
      <alignment horizontal="general" vertical="bottom" textRotation="0" wrapText="false" indent="0" shrinkToFit="false"/>
      <protection locked="true" hidden="false"/>
    </xf>
    <xf numFmtId="164" fontId="21" fillId="4" borderId="1" xfId="0" applyFont="true" applyBorder="true" applyAlignment="true" applyProtection="false">
      <alignment horizontal="center" vertical="bottom" textRotation="0" wrapText="false" indent="0" shrinkToFit="false"/>
      <protection locked="true" hidden="false"/>
    </xf>
    <xf numFmtId="173" fontId="21" fillId="4" borderId="1" xfId="0" applyFont="true" applyBorder="true" applyAlignment="true" applyProtection="false">
      <alignment horizontal="center" vertical="bottom" textRotation="0" wrapText="false" indent="0" shrinkToFit="false"/>
      <protection locked="true" hidden="false"/>
    </xf>
    <xf numFmtId="164" fontId="21" fillId="0" borderId="1" xfId="0" applyFont="true" applyBorder="true" applyAlignment="true" applyProtection="false">
      <alignment horizontal="general" vertical="bottom" textRotation="0" wrapText="false" indent="0" shrinkToFit="false"/>
      <protection locked="true" hidden="false"/>
    </xf>
    <xf numFmtId="168" fontId="21" fillId="0" borderId="0" xfId="0" applyFont="true" applyBorder="false" applyAlignment="true" applyProtection="false">
      <alignment horizontal="center" vertical="bottom" textRotation="0" wrapText="false" indent="0" shrinkToFit="false"/>
      <protection locked="true" hidden="false"/>
    </xf>
    <xf numFmtId="168" fontId="21" fillId="0" borderId="0" xfId="0" applyFont="true" applyBorder="false" applyAlignment="true" applyProtection="false">
      <alignment horizontal="left" vertical="bottom" textRotation="0" wrapText="false" indent="0" shrinkToFit="false"/>
      <protection locked="true" hidden="false"/>
    </xf>
    <xf numFmtId="170" fontId="21" fillId="4" borderId="1" xfId="0" applyFont="true" applyBorder="true" applyAlignment="true" applyProtection="false">
      <alignment horizontal="general" vertical="bottom" textRotation="0" wrapText="false" indent="0" shrinkToFit="false"/>
      <protection locked="true" hidden="false"/>
    </xf>
    <xf numFmtId="164" fontId="23" fillId="5" borderId="0" xfId="0" applyFont="true" applyBorder="true" applyAlignment="true" applyProtection="false">
      <alignment horizontal="left" vertical="top" textRotation="0" wrapText="true" indent="0" shrinkToFit="false"/>
      <protection locked="true" hidden="false"/>
    </xf>
    <xf numFmtId="174" fontId="21" fillId="4" borderId="1" xfId="0" applyFont="true" applyBorder="true" applyAlignment="true" applyProtection="false">
      <alignment horizontal="general" vertical="bottom" textRotation="0" wrapText="false" indent="0" shrinkToFit="false"/>
      <protection locked="true" hidden="false"/>
    </xf>
    <xf numFmtId="175" fontId="21" fillId="4" borderId="1" xfId="0" applyFont="true" applyBorder="true" applyAlignment="true" applyProtection="false">
      <alignment horizontal="general" vertical="bottom" textRotation="0" wrapText="false" indent="0" shrinkToFit="false"/>
      <protection locked="true" hidden="false"/>
    </xf>
    <xf numFmtId="168" fontId="25" fillId="4" borderId="1" xfId="0" applyFont="true" applyBorder="true" applyAlignment="true" applyProtection="false">
      <alignment horizontal="general" vertical="bottom" textRotation="0" wrapText="false" indent="0" shrinkToFit="false"/>
      <protection locked="true" hidden="false"/>
    </xf>
    <xf numFmtId="164" fontId="26" fillId="0" borderId="1" xfId="0" applyFont="true" applyBorder="true" applyAlignment="true" applyProtection="false">
      <alignment horizontal="general" vertical="bottom" textRotation="0" wrapText="false" indent="0" shrinkToFit="false"/>
      <protection locked="true" hidden="false"/>
    </xf>
    <xf numFmtId="165" fontId="21" fillId="4" borderId="1" xfId="0" applyFont="true" applyBorder="true" applyAlignment="true" applyProtection="false">
      <alignment horizontal="center" vertical="bottom" textRotation="0" wrapText="false" indent="0" shrinkToFit="false"/>
      <protection locked="true" hidden="false"/>
    </xf>
    <xf numFmtId="169" fontId="21" fillId="4" borderId="1" xfId="0" applyFont="true" applyBorder="true" applyAlignment="true" applyProtection="false">
      <alignment horizontal="general" vertical="bottom" textRotation="0" wrapText="false" indent="0" shrinkToFit="false"/>
      <protection locked="true" hidden="false"/>
    </xf>
    <xf numFmtId="169" fontId="21" fillId="4" borderId="1"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4" fontId="28" fillId="0" borderId="1" xfId="0" applyFont="true" applyBorder="true" applyAlignment="true" applyProtection="false">
      <alignment horizontal="center" vertical="bottom" textRotation="0" wrapText="false" indent="0" shrinkToFit="false"/>
      <protection locked="true" hidden="false"/>
    </xf>
    <xf numFmtId="167" fontId="28" fillId="0" borderId="1" xfId="0" applyFont="true" applyBorder="true" applyAlignment="true" applyProtection="false">
      <alignment horizontal="general" vertical="bottom" textRotation="0" wrapText="false" indent="0" shrinkToFit="false"/>
      <protection locked="true" hidden="false"/>
    </xf>
    <xf numFmtId="164" fontId="29" fillId="6" borderId="1" xfId="0" applyFont="true" applyBorder="true" applyAlignment="true" applyProtection="false">
      <alignment horizontal="center" vertical="bottom" textRotation="0" wrapText="false" indent="0" shrinkToFit="false"/>
      <protection locked="true" hidden="false"/>
    </xf>
    <xf numFmtId="164" fontId="30" fillId="6" borderId="1" xfId="0" applyFont="true" applyBorder="true" applyAlignment="true" applyProtection="false">
      <alignment horizontal="left" vertical="top" textRotation="0" wrapText="true" indent="0" shrinkToFit="false"/>
      <protection locked="true" hidden="false"/>
    </xf>
    <xf numFmtId="164" fontId="31" fillId="0" borderId="1" xfId="0" applyFont="true" applyBorder="true" applyAlignment="true" applyProtection="false">
      <alignment horizontal="left" vertical="bottom" textRotation="0" wrapText="true" indent="0" shrinkToFit="false"/>
      <protection locked="true" hidden="false"/>
    </xf>
    <xf numFmtId="164" fontId="29" fillId="0" borderId="1" xfId="0" applyFont="true" applyBorder="true" applyAlignment="true" applyProtection="false">
      <alignment horizontal="center" vertical="bottom" textRotation="0" wrapText="false" indent="0" shrinkToFit="false"/>
      <protection locked="true" hidden="false"/>
    </xf>
    <xf numFmtId="164" fontId="27" fillId="0" borderId="26" xfId="0" applyFont="true" applyBorder="true" applyAlignment="true" applyProtection="false">
      <alignment horizontal="general" vertical="bottom" textRotation="0" wrapText="false" indent="0" shrinkToFit="false"/>
      <protection locked="true" hidden="false"/>
    </xf>
    <xf numFmtId="164" fontId="32" fillId="0" borderId="11" xfId="0" applyFont="true" applyBorder="true" applyAlignment="true" applyProtection="false">
      <alignment horizontal="center" vertical="bottom" textRotation="0" wrapText="false" indent="0" shrinkToFit="false"/>
      <protection locked="true" hidden="false"/>
    </xf>
    <xf numFmtId="164" fontId="32" fillId="0" borderId="1" xfId="0" applyFont="true" applyBorder="true" applyAlignment="true" applyProtection="false">
      <alignment horizontal="center" vertical="bottom" textRotation="0" wrapText="false" indent="0" shrinkToFit="false"/>
      <protection locked="true" hidden="false"/>
    </xf>
    <xf numFmtId="176" fontId="32" fillId="0" borderId="11" xfId="0" applyFont="true" applyBorder="true" applyAlignment="true" applyProtection="false">
      <alignment horizontal="center" vertical="bottom" textRotation="0" wrapText="false" indent="0" shrinkToFit="false"/>
      <protection locked="true" hidden="false"/>
    </xf>
    <xf numFmtId="164" fontId="32" fillId="0" borderId="27" xfId="0" applyFont="true" applyBorder="true" applyAlignment="true" applyProtection="false">
      <alignment horizontal="center" vertical="bottom" textRotation="0" wrapText="false" indent="0" shrinkToFit="false"/>
      <protection locked="true" hidden="false"/>
    </xf>
    <xf numFmtId="164" fontId="27" fillId="0" borderId="28" xfId="0" applyFont="true" applyBorder="true" applyAlignment="true" applyProtection="false">
      <alignment horizontal="general" vertical="bottom" textRotation="0" wrapText="false" indent="0" shrinkToFit="false"/>
      <protection locked="true" hidden="false"/>
    </xf>
    <xf numFmtId="170" fontId="27" fillId="0" borderId="1" xfId="0" applyFont="true" applyBorder="true" applyAlignment="true" applyProtection="false">
      <alignment horizontal="center" vertical="bottom" textRotation="0" wrapText="false" indent="0" shrinkToFit="false"/>
      <protection locked="true" hidden="false"/>
    </xf>
    <xf numFmtId="177" fontId="30" fillId="0" borderId="1" xfId="0" applyFont="true" applyBorder="true" applyAlignment="true" applyProtection="false">
      <alignment horizontal="center" vertical="bottom" textRotation="0" wrapText="false" indent="0" shrinkToFit="false"/>
      <protection locked="true" hidden="false"/>
    </xf>
    <xf numFmtId="166" fontId="27" fillId="6" borderId="1" xfId="0" applyFont="true" applyBorder="true" applyAlignment="true" applyProtection="false">
      <alignment horizontal="center" vertical="bottom" textRotation="0" wrapText="false" indent="0" shrinkToFit="false"/>
      <protection locked="true" hidden="false"/>
    </xf>
    <xf numFmtId="166" fontId="27" fillId="0" borderId="1" xfId="0" applyFont="true" applyBorder="true" applyAlignment="true" applyProtection="false">
      <alignment horizontal="center" vertical="bottom" textRotation="0" wrapText="false" indent="0" shrinkToFit="false"/>
      <protection locked="true" hidden="false"/>
    </xf>
    <xf numFmtId="164" fontId="27" fillId="6" borderId="25" xfId="0" applyFont="true" applyBorder="true" applyAlignment="true" applyProtection="false">
      <alignment horizontal="left" vertical="bottom" textRotation="0" wrapText="false" indent="0" shrinkToFit="false"/>
      <protection locked="true" hidden="false"/>
    </xf>
    <xf numFmtId="164" fontId="33" fillId="0" borderId="1" xfId="0" applyFont="true" applyBorder="true" applyAlignment="true" applyProtection="false">
      <alignment horizontal="left" vertical="center" textRotation="0" wrapText="true" indent="0" shrinkToFit="false"/>
      <protection locked="true" hidden="false"/>
    </xf>
    <xf numFmtId="166" fontId="27" fillId="6" borderId="9" xfId="0" applyFont="true" applyBorder="true" applyAlignment="true" applyProtection="false">
      <alignment horizontal="center" vertical="bottom" textRotation="0" wrapText="false" indent="0" shrinkToFit="false"/>
      <protection locked="true" hidden="false"/>
    </xf>
    <xf numFmtId="166" fontId="27" fillId="6" borderId="10" xfId="0" applyFont="true" applyBorder="true" applyAlignment="true" applyProtection="false">
      <alignment horizontal="center" vertical="bottom" textRotation="0" wrapText="false" indent="0" shrinkToFit="false"/>
      <protection locked="true" hidden="false"/>
    </xf>
    <xf numFmtId="164" fontId="27" fillId="6" borderId="25" xfId="0" applyFont="true" applyBorder="true" applyAlignment="true" applyProtection="false">
      <alignment horizontal="general" vertical="bottom" textRotation="0" wrapText="true" indent="0" shrinkToFit="false"/>
      <protection locked="true" hidden="false"/>
    </xf>
    <xf numFmtId="166" fontId="30" fillId="0" borderId="1" xfId="0" applyFont="true" applyBorder="true" applyAlignment="true" applyProtection="false">
      <alignment horizontal="center" vertical="bottom" textRotation="0" wrapText="false" indent="0" shrinkToFit="false"/>
      <protection locked="true" hidden="false"/>
    </xf>
    <xf numFmtId="164" fontId="27" fillId="6" borderId="25" xfId="0" applyFont="true" applyBorder="true" applyAlignment="tru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center" vertical="bottom" textRotation="0" wrapText="false" indent="0" shrinkToFit="false"/>
      <protection locked="true" hidden="false"/>
    </xf>
    <xf numFmtId="165" fontId="30" fillId="0" borderId="1" xfId="0" applyFont="true" applyBorder="true" applyAlignment="true" applyProtection="false">
      <alignment horizontal="center" vertical="bottom" textRotation="0" wrapText="false" indent="0" shrinkToFit="false"/>
      <protection locked="true" hidden="false"/>
    </xf>
    <xf numFmtId="165" fontId="27" fillId="6" borderId="1" xfId="0" applyFont="true" applyBorder="true" applyAlignment="true" applyProtection="false">
      <alignment horizontal="center" vertical="bottom" textRotation="0" wrapText="false" indent="0" shrinkToFit="false"/>
      <protection locked="true" hidden="false"/>
    </xf>
    <xf numFmtId="165" fontId="27" fillId="6" borderId="10" xfId="0" applyFont="true" applyBorder="true" applyAlignment="true" applyProtection="false">
      <alignment horizontal="center" vertical="bottom" textRotation="0" wrapText="false" indent="0" shrinkToFit="false"/>
      <protection locked="true" hidden="false"/>
    </xf>
    <xf numFmtId="166" fontId="27" fillId="0" borderId="10" xfId="0" applyFont="true" applyBorder="true" applyAlignment="true" applyProtection="false">
      <alignment horizontal="center" vertical="bottom" textRotation="0" wrapText="false" indent="0" shrinkToFit="false"/>
      <protection locked="true" hidden="false"/>
    </xf>
    <xf numFmtId="164" fontId="27" fillId="0" borderId="29" xfId="0" applyFont="true" applyBorder="true" applyAlignment="true" applyProtection="false">
      <alignment horizontal="general" vertical="bottom" textRotation="0" wrapText="false" indent="0" shrinkToFit="false"/>
      <protection locked="true" hidden="false"/>
    </xf>
    <xf numFmtId="166" fontId="27" fillId="0" borderId="5" xfId="0" applyFont="true" applyBorder="true" applyAlignment="true" applyProtection="false">
      <alignment horizontal="center" vertical="bottom" textRotation="0" wrapText="false" indent="0" shrinkToFit="false"/>
      <protection locked="true" hidden="false"/>
    </xf>
    <xf numFmtId="166" fontId="27" fillId="0" borderId="4" xfId="0" applyFont="true" applyBorder="true" applyAlignment="true" applyProtection="false">
      <alignment horizontal="center" vertical="bottom" textRotation="0" wrapText="false" indent="0" shrinkToFit="false"/>
      <protection locked="true" hidden="false"/>
    </xf>
    <xf numFmtId="164" fontId="27" fillId="6" borderId="3" xfId="0" applyFont="true" applyBorder="true" applyAlignment="true" applyProtection="false">
      <alignment horizontal="general" vertical="bottom" textRotation="0" wrapText="false" indent="0" shrinkToFit="false"/>
      <protection locked="true" hidden="false"/>
    </xf>
    <xf numFmtId="164" fontId="27" fillId="0" borderId="30" xfId="0" applyFont="true" applyBorder="true" applyAlignment="true" applyProtection="false">
      <alignment horizontal="general" vertical="bottom" textRotation="0" wrapText="false" indent="0" shrinkToFit="false"/>
      <protection locked="true" hidden="false"/>
    </xf>
    <xf numFmtId="164" fontId="27" fillId="0" borderId="31" xfId="0" applyFont="true" applyBorder="true" applyAlignment="true" applyProtection="false">
      <alignment horizontal="center" vertical="bottom" textRotation="0" wrapText="false" indent="0" shrinkToFit="false"/>
      <protection locked="true" hidden="false"/>
    </xf>
    <xf numFmtId="166" fontId="27" fillId="0" borderId="21" xfId="0" applyFont="true" applyBorder="true" applyAlignment="true" applyProtection="false">
      <alignment horizontal="center" vertical="bottom" textRotation="0" wrapText="false" indent="0" shrinkToFit="false"/>
      <protection locked="true" hidden="false"/>
    </xf>
    <xf numFmtId="164" fontId="27" fillId="6" borderId="32" xfId="0" applyFont="true" applyBorder="true" applyAlignment="true" applyProtection="false">
      <alignment horizontal="general" vertical="bottom" textRotation="0" wrapText="false" indent="0" shrinkToFit="false"/>
      <protection locked="true" hidden="false"/>
    </xf>
    <xf numFmtId="164" fontId="29" fillId="0" borderId="33" xfId="0" applyFont="true" applyBorder="true" applyAlignment="true" applyProtection="false">
      <alignment horizontal="center" vertical="bottom" textRotation="0" wrapText="false" indent="0" shrinkToFit="false"/>
      <protection locked="true" hidden="false"/>
    </xf>
    <xf numFmtId="164" fontId="32" fillId="0" borderId="34" xfId="0" applyFont="true" applyBorder="true" applyAlignment="true" applyProtection="false">
      <alignment horizontal="center" vertical="bottom" textRotation="0" wrapText="false" indent="0" shrinkToFit="false"/>
      <protection locked="true" hidden="false"/>
    </xf>
    <xf numFmtId="164" fontId="32" fillId="0" borderId="35" xfId="0" applyFont="true" applyBorder="true" applyAlignment="true" applyProtection="false">
      <alignment horizontal="center" vertical="bottom" textRotation="0" wrapText="false" indent="0" shrinkToFit="false"/>
      <protection locked="true" hidden="false"/>
    </xf>
    <xf numFmtId="178" fontId="32" fillId="0" borderId="35" xfId="0" applyFont="true" applyBorder="true" applyAlignment="true" applyProtection="false">
      <alignment horizontal="center" vertical="bottom" textRotation="0" wrapText="false" indent="0" shrinkToFit="false"/>
      <protection locked="true" hidden="false"/>
    </xf>
    <xf numFmtId="178" fontId="32" fillId="0" borderId="36" xfId="0" applyFont="true" applyBorder="true" applyAlignment="true" applyProtection="false">
      <alignment horizontal="center" vertical="bottom" textRotation="0" wrapText="false" indent="0" shrinkToFit="false"/>
      <protection locked="true" hidden="false"/>
    </xf>
    <xf numFmtId="164" fontId="27" fillId="0" borderId="28" xfId="0" applyFont="true" applyBorder="true" applyAlignment="true" applyProtection="false">
      <alignment horizontal="center" vertical="bottom" textRotation="0" wrapText="false" indent="0" shrinkToFit="false"/>
      <protection locked="true" hidden="false"/>
    </xf>
    <xf numFmtId="170" fontId="27" fillId="0" borderId="9" xfId="0" applyFont="true" applyBorder="true" applyAlignment="true" applyProtection="false">
      <alignment horizontal="center" vertical="bottom" textRotation="0" wrapText="false" indent="0" shrinkToFit="false"/>
      <protection locked="true" hidden="false"/>
    </xf>
    <xf numFmtId="164" fontId="27" fillId="0" borderId="30" xfId="0" applyFont="true" applyBorder="true" applyAlignment="true" applyProtection="false">
      <alignment horizontal="center" vertical="bottom" textRotation="0" wrapText="false" indent="0" shrinkToFit="false"/>
      <protection locked="true" hidden="false"/>
    </xf>
    <xf numFmtId="170" fontId="27" fillId="0" borderId="21" xfId="0" applyFont="true" applyBorder="true" applyAlignment="true" applyProtection="false">
      <alignment horizontal="center" vertical="bottom" textRotation="0" wrapText="false" indent="0" shrinkToFit="false"/>
      <protection locked="true" hidden="false"/>
    </xf>
    <xf numFmtId="164" fontId="27" fillId="0" borderId="37" xfId="0" applyFont="true" applyBorder="true" applyAlignment="true" applyProtection="false">
      <alignment horizontal="left" vertical="bottom" textRotation="0" wrapText="false" indent="0" shrinkToFit="false"/>
      <protection locked="true" hidden="false"/>
    </xf>
    <xf numFmtId="170" fontId="34" fillId="5" borderId="15" xfId="0" applyFont="true" applyBorder="true" applyAlignment="true" applyProtection="false">
      <alignment horizontal="general" vertical="bottom" textRotation="0" wrapText="false" indent="0" shrinkToFit="false"/>
      <protection locked="true" hidden="false"/>
    </xf>
    <xf numFmtId="169" fontId="27" fillId="0" borderId="38" xfId="0" applyFont="true" applyBorder="true" applyAlignment="true" applyProtection="false">
      <alignment horizontal="general" vertical="bottom" textRotation="0" wrapText="false" indent="0" shrinkToFit="false"/>
      <protection locked="true" hidden="false"/>
    </xf>
    <xf numFmtId="164" fontId="27" fillId="0" borderId="38" xfId="0" applyFont="true" applyBorder="true" applyAlignment="true" applyProtection="false">
      <alignment horizontal="general" vertical="bottom" textRotation="0" wrapText="false" indent="0" shrinkToFit="false"/>
      <protection locked="true" hidden="false"/>
    </xf>
    <xf numFmtId="164" fontId="27" fillId="0" borderId="39" xfId="0" applyFont="true" applyBorder="true" applyAlignment="true" applyProtection="false">
      <alignment horizontal="general" vertical="bottom" textRotation="0" wrapText="false" indent="0" shrinkToFit="false"/>
      <protection locked="true" hidden="false"/>
    </xf>
    <xf numFmtId="164" fontId="33" fillId="0" borderId="13" xfId="0" applyFont="true" applyBorder="true" applyAlignment="true" applyProtection="false">
      <alignment horizontal="left" vertical="center" textRotation="0" wrapText="true" indent="0" shrinkToFit="false"/>
      <protection locked="true" hidden="false"/>
    </xf>
    <xf numFmtId="164" fontId="27" fillId="0" borderId="40" xfId="0" applyFont="true" applyBorder="true" applyAlignment="true" applyProtection="false">
      <alignment horizontal="left" vertical="bottom" textRotation="0" wrapText="false" indent="0" shrinkToFit="false"/>
      <protection locked="true" hidden="false"/>
    </xf>
    <xf numFmtId="169" fontId="27" fillId="0" borderId="0" xfId="0" applyFont="true" applyBorder="false" applyAlignment="true" applyProtection="false">
      <alignment horizontal="general" vertical="bottom" textRotation="0" wrapText="false" indent="0" shrinkToFit="false"/>
      <protection locked="true" hidden="false"/>
    </xf>
    <xf numFmtId="164" fontId="27" fillId="0" borderId="14" xfId="0" applyFont="true" applyBorder="true" applyAlignment="true" applyProtection="false">
      <alignment horizontal="general" vertical="bottom" textRotation="0" wrapText="false" indent="0" shrinkToFit="false"/>
      <protection locked="true" hidden="false"/>
    </xf>
    <xf numFmtId="169" fontId="27" fillId="6" borderId="25" xfId="0" applyFont="true" applyBorder="true" applyAlignment="true" applyProtection="false">
      <alignment horizontal="right" vertical="bottom" textRotation="0" wrapText="false" indent="0" shrinkToFit="false"/>
      <protection locked="true" hidden="false"/>
    </xf>
    <xf numFmtId="166" fontId="27" fillId="6" borderId="10" xfId="0" applyFont="true" applyBorder="true" applyAlignment="true" applyProtection="false">
      <alignment horizontal="left" vertical="bottom" textRotation="0" wrapText="false" indent="0" shrinkToFit="false"/>
      <protection locked="true" hidden="false"/>
    </xf>
    <xf numFmtId="164" fontId="27" fillId="0" borderId="28" xfId="0" applyFont="true" applyBorder="true" applyAlignment="true" applyProtection="false">
      <alignment horizontal="left" vertical="bottom" textRotation="0" wrapText="false" indent="0" shrinkToFit="false"/>
      <protection locked="true" hidden="false"/>
    </xf>
    <xf numFmtId="175" fontId="34" fillId="5" borderId="15" xfId="0" applyFont="true" applyBorder="true" applyAlignment="true" applyProtection="false">
      <alignment horizontal="general" vertical="bottom" textRotation="0" wrapText="false" indent="0" shrinkToFit="false"/>
      <protection locked="true" hidden="false"/>
    </xf>
    <xf numFmtId="164" fontId="27" fillId="0" borderId="30" xfId="0" applyFont="true" applyBorder="true" applyAlignment="true" applyProtection="false">
      <alignment horizontal="left" vertical="bottom" textRotation="0" wrapText="false" indent="0" shrinkToFit="false"/>
      <protection locked="true" hidden="false"/>
    </xf>
    <xf numFmtId="164" fontId="27" fillId="0" borderId="41" xfId="0" applyFont="true" applyBorder="true" applyAlignment="true" applyProtection="false">
      <alignment horizontal="right" vertical="bottom" textRotation="0" wrapText="false" indent="0" shrinkToFit="false"/>
      <protection locked="true" hidden="false"/>
    </xf>
    <xf numFmtId="170" fontId="27" fillId="0" borderId="42" xfId="0" applyFont="true" applyBorder="true" applyAlignment="true" applyProtection="false">
      <alignment horizontal="lef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8" xfId="0" applyFont="true" applyBorder="true" applyAlignment="true" applyProtection="false">
      <alignment horizontal="center" vertical="bottom" textRotation="0" wrapText="false" indent="0" shrinkToFit="false"/>
      <protection locked="true" hidden="false"/>
    </xf>
    <xf numFmtId="167" fontId="40" fillId="0" borderId="8" xfId="0" applyFont="true" applyBorder="true" applyAlignment="true" applyProtection="false">
      <alignment horizontal="center" vertical="bottom" textRotation="0" wrapText="false" indent="0" shrinkToFit="false"/>
      <protection locked="true" hidden="false"/>
    </xf>
    <xf numFmtId="164" fontId="36" fillId="0" borderId="13" xfId="0" applyFont="true" applyBorder="true" applyAlignment="true" applyProtection="false">
      <alignment horizontal="general" vertical="bottom" textRotation="0" wrapText="false" indent="0" shrinkToFit="false"/>
      <protection locked="true" hidden="false"/>
    </xf>
    <xf numFmtId="164" fontId="36" fillId="0" borderId="14" xfId="0" applyFont="true" applyBorder="true" applyAlignment="true" applyProtection="false">
      <alignment horizontal="general" vertical="bottom" textRotation="0" wrapText="false" indent="0" shrinkToFit="false"/>
      <protection locked="true" hidden="false"/>
    </xf>
    <xf numFmtId="164" fontId="40" fillId="0" borderId="43" xfId="0" applyFont="true" applyBorder="true" applyAlignment="true" applyProtection="false">
      <alignment horizontal="center" vertical="bottom" textRotation="0" wrapText="false" indent="0" shrinkToFit="false"/>
      <protection locked="true" hidden="false"/>
    </xf>
    <xf numFmtId="164" fontId="40" fillId="0" borderId="12" xfId="0" applyFont="true" applyBorder="true" applyAlignment="true" applyProtection="false">
      <alignment horizontal="center" vertical="bottom" textRotation="0" wrapText="false" indent="0" shrinkToFit="false"/>
      <protection locked="true" hidden="false"/>
    </xf>
    <xf numFmtId="164" fontId="36" fillId="0" borderId="11" xfId="0" applyFont="true" applyBorder="true" applyAlignment="tru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top" textRotation="0" wrapText="true" indent="0" shrinkToFit="false"/>
      <protection locked="true" hidden="false"/>
    </xf>
    <xf numFmtId="164" fontId="37" fillId="0" borderId="1" xfId="0" applyFont="true" applyBorder="true" applyAlignment="true" applyProtection="false">
      <alignment horizontal="center" vertical="bottom" textRotation="0" wrapText="false" indent="0" shrinkToFit="false"/>
      <protection locked="true" hidden="false"/>
    </xf>
    <xf numFmtId="164" fontId="36" fillId="0" borderId="28" xfId="0" applyFont="true" applyBorder="true" applyAlignment="true" applyProtection="false">
      <alignment horizontal="general" vertical="bottom" textRotation="0" wrapText="false" indent="0" shrinkToFit="false"/>
      <protection locked="true" hidden="false"/>
    </xf>
    <xf numFmtId="166" fontId="36" fillId="0" borderId="1" xfId="0" applyFont="true" applyBorder="true" applyAlignment="true" applyProtection="false">
      <alignment horizontal="general" vertical="bottom" textRotation="0" wrapText="false" indent="0" shrinkToFit="false"/>
      <protection locked="true" hidden="false"/>
    </xf>
    <xf numFmtId="164" fontId="36" fillId="0" borderId="1" xfId="0" applyFont="true" applyBorder="true" applyAlignment="true" applyProtection="false">
      <alignment horizontal="general" vertical="bottom" textRotation="0" wrapText="false" indent="0" shrinkToFit="false"/>
      <protection locked="true" hidden="false"/>
    </xf>
    <xf numFmtId="166" fontId="36" fillId="0" borderId="16" xfId="0" applyFont="true" applyBorder="true" applyAlignment="true" applyProtection="false">
      <alignment horizontal="general" vertical="bottom" textRotation="0" wrapText="false" indent="0" shrinkToFit="false"/>
      <protection locked="true" hidden="false"/>
    </xf>
    <xf numFmtId="179" fontId="36" fillId="0" borderId="1" xfId="0" applyFont="true" applyBorder="true" applyAlignment="true" applyProtection="false">
      <alignment horizontal="general" vertical="bottom" textRotation="0" wrapText="false" indent="0" shrinkToFit="false"/>
      <protection locked="true" hidden="false"/>
    </xf>
    <xf numFmtId="166" fontId="36" fillId="0" borderId="14" xfId="0" applyFont="true" applyBorder="true" applyAlignment="true" applyProtection="false">
      <alignment horizontal="general" vertical="bottom" textRotation="0" wrapText="false" indent="0" shrinkToFit="false"/>
      <protection locked="true" hidden="false"/>
    </xf>
    <xf numFmtId="168" fontId="36" fillId="6" borderId="34" xfId="0" applyFont="true" applyBorder="true" applyAlignment="true" applyProtection="false">
      <alignment horizontal="general" vertical="bottom" textRotation="0" wrapText="false" indent="0" shrinkToFit="false"/>
      <protection locked="true" hidden="false"/>
    </xf>
    <xf numFmtId="169" fontId="36" fillId="6" borderId="44" xfId="0" applyFont="true" applyBorder="true" applyAlignment="true" applyProtection="fals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4" xfId="0" applyFont="true" applyBorder="true" applyAlignment="true" applyProtection="false">
      <alignment horizontal="center" vertical="bottom" textRotation="0" wrapText="false" indent="0" shrinkToFit="false"/>
      <protection locked="true" hidden="false"/>
    </xf>
    <xf numFmtId="164" fontId="36" fillId="6" borderId="28" xfId="0" applyFont="true" applyBorder="true" applyAlignment="true" applyProtection="false">
      <alignment horizontal="general" vertical="bottom" textRotation="0" wrapText="false" indent="0" shrinkToFit="false"/>
      <protection locked="true" hidden="false"/>
    </xf>
    <xf numFmtId="169" fontId="36" fillId="6" borderId="16" xfId="0" applyFont="true" applyBorder="true" applyAlignment="true" applyProtection="false">
      <alignment horizontal="general" vertical="bottom" textRotation="0" wrapText="false" indent="0" shrinkToFit="false"/>
      <protection locked="true" hidden="false"/>
    </xf>
    <xf numFmtId="166" fontId="36" fillId="6" borderId="1" xfId="0" applyFont="true" applyBorder="true" applyAlignment="true" applyProtection="false">
      <alignment horizontal="general" vertical="bottom" textRotation="0" wrapText="false" indent="0" shrinkToFit="false"/>
      <protection locked="true" hidden="false"/>
    </xf>
    <xf numFmtId="166" fontId="36" fillId="6" borderId="28" xfId="0" applyFont="true" applyBorder="true" applyAlignment="true" applyProtection="false">
      <alignment horizontal="general" vertical="bottom" textRotation="0" wrapText="false" indent="0" shrinkToFit="false"/>
      <protection locked="true" hidden="false"/>
    </xf>
    <xf numFmtId="166" fontId="36" fillId="6" borderId="16" xfId="0" applyFont="true" applyBorder="true" applyAlignment="true" applyProtection="false">
      <alignment horizontal="general" vertical="bottom" textRotation="0" wrapText="false" indent="0" shrinkToFit="false"/>
      <protection locked="true" hidden="false"/>
    </xf>
    <xf numFmtId="169" fontId="36" fillId="0" borderId="1" xfId="0" applyFont="true" applyBorder="true" applyAlignment="tru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general" vertical="bottom" textRotation="0" wrapText="false" indent="0" shrinkToFit="false"/>
      <protection locked="true" hidden="false"/>
    </xf>
    <xf numFmtId="179" fontId="36" fillId="6" borderId="16" xfId="0" applyFont="true" applyBorder="true" applyAlignment="tru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general" vertical="bottom" textRotation="0" wrapText="false" indent="0" shrinkToFit="false"/>
      <protection locked="true" hidden="false"/>
    </xf>
    <xf numFmtId="168" fontId="36" fillId="6" borderId="1" xfId="0" applyFont="true" applyBorder="true" applyAlignment="true" applyProtection="false">
      <alignment horizontal="general" vertical="bottom" textRotation="0" wrapText="false" indent="0" shrinkToFit="false"/>
      <protection locked="true" hidden="false"/>
    </xf>
    <xf numFmtId="166" fontId="36" fillId="0" borderId="0" xfId="0" applyFont="true" applyBorder="false" applyAlignment="true" applyProtection="false">
      <alignment horizontal="general" vertical="bottom" textRotation="0" wrapText="false" indent="0" shrinkToFit="false"/>
      <protection locked="true" hidden="false"/>
    </xf>
    <xf numFmtId="175" fontId="36" fillId="6" borderId="28" xfId="0" applyFont="true" applyBorder="true" applyAlignment="true" applyProtection="false">
      <alignment horizontal="general" vertical="bottom" textRotation="0" wrapText="false" indent="0" shrinkToFit="false"/>
      <protection locked="true" hidden="false"/>
    </xf>
    <xf numFmtId="175" fontId="36" fillId="6" borderId="16" xfId="0" applyFont="true" applyBorder="true" applyAlignment="true" applyProtection="false">
      <alignment horizontal="general" vertical="bottom" textRotation="0" wrapText="false" indent="0" shrinkToFit="false"/>
      <protection locked="true" hidden="false"/>
    </xf>
    <xf numFmtId="173" fontId="36" fillId="0" borderId="1" xfId="0" applyFont="true" applyBorder="true" applyAlignment="true" applyProtection="false">
      <alignment horizontal="general" vertical="bottom" textRotation="0" wrapText="false" indent="0" shrinkToFit="false"/>
      <protection locked="true" hidden="false"/>
    </xf>
    <xf numFmtId="164" fontId="36" fillId="6" borderId="29" xfId="0" applyFont="true" applyBorder="true" applyAlignment="true" applyProtection="false">
      <alignment horizontal="general" vertical="bottom" textRotation="0" wrapText="false" indent="0" shrinkToFit="false"/>
      <protection locked="true" hidden="false"/>
    </xf>
    <xf numFmtId="170" fontId="36" fillId="6" borderId="45" xfId="0" applyFont="true" applyBorder="true" applyAlignment="true" applyProtection="false">
      <alignment horizontal="general" vertical="bottom" textRotation="0" wrapText="false" indent="0" shrinkToFit="false"/>
      <protection locked="true" hidden="false"/>
    </xf>
    <xf numFmtId="164" fontId="36" fillId="0" borderId="29" xfId="0" applyFont="true" applyBorder="true" applyAlignment="true" applyProtection="false">
      <alignment horizontal="general" vertical="bottom" textRotation="0" wrapText="false" indent="0" shrinkToFit="false"/>
      <protection locked="true" hidden="false"/>
    </xf>
    <xf numFmtId="170" fontId="36" fillId="0" borderId="2" xfId="0" applyFont="true" applyBorder="true" applyAlignment="true" applyProtection="false">
      <alignment horizontal="general" vertical="bottom" textRotation="0" wrapText="false" indent="0" shrinkToFit="false"/>
      <protection locked="true" hidden="false"/>
    </xf>
    <xf numFmtId="165" fontId="36" fillId="6" borderId="1" xfId="0" applyFont="true" applyBorder="true" applyAlignment="true" applyProtection="false">
      <alignment horizontal="general" vertical="bottom" textRotation="0" wrapText="false" indent="0" shrinkToFit="false"/>
      <protection locked="true" hidden="false"/>
    </xf>
    <xf numFmtId="170" fontId="36" fillId="6" borderId="1" xfId="0" applyFont="true" applyBorder="true" applyAlignment="true" applyProtection="false">
      <alignment horizontal="general" vertical="bottom" textRotation="0" wrapText="false" indent="0" shrinkToFit="false"/>
      <protection locked="true" hidden="false"/>
    </xf>
    <xf numFmtId="164" fontId="36" fillId="0" borderId="18" xfId="0" applyFont="true" applyBorder="true" applyAlignment="true" applyProtection="false">
      <alignment horizontal="general" vertical="bottom" textRotation="0" wrapText="false" indent="0" shrinkToFit="false"/>
      <protection locked="true" hidden="false"/>
    </xf>
    <xf numFmtId="164" fontId="36" fillId="0" borderId="19" xfId="0" applyFont="true" applyBorder="true" applyAlignment="true" applyProtection="false">
      <alignment horizontal="general" vertical="bottom" textRotation="0" wrapText="false" indent="0" shrinkToFit="false"/>
      <protection locked="true" hidden="false"/>
    </xf>
    <xf numFmtId="164" fontId="36" fillId="0" borderId="24"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4" fontId="39" fillId="0" borderId="46" xfId="0" applyFont="true" applyBorder="true" applyAlignment="true" applyProtection="false">
      <alignment horizontal="general" vertical="bottom" textRotation="0" wrapText="false" indent="0" shrinkToFit="false"/>
      <protection locked="true" hidden="false"/>
    </xf>
    <xf numFmtId="164" fontId="39" fillId="0" borderId="38" xfId="0" applyFont="true" applyBorder="true" applyAlignment="true" applyProtection="false">
      <alignment horizontal="center" vertical="bottom" textRotation="0" wrapText="false" indent="0" shrinkToFit="false"/>
      <protection locked="true" hidden="false"/>
    </xf>
    <xf numFmtId="164" fontId="9" fillId="0" borderId="38" xfId="0" applyFont="true" applyBorder="true" applyAlignment="true" applyProtection="false">
      <alignment horizontal="center" vertical="bottom" textRotation="0" wrapText="false" indent="0" shrinkToFit="false"/>
      <protection locked="true" hidden="false"/>
    </xf>
    <xf numFmtId="164" fontId="39" fillId="0" borderId="39" xfId="0" applyFont="true" applyBorder="true" applyAlignment="true" applyProtection="false">
      <alignment horizontal="center" vertical="bottom" textRotation="0" wrapText="false" indent="0" shrinkToFit="false"/>
      <protection locked="true" hidden="false"/>
    </xf>
    <xf numFmtId="164" fontId="39" fillId="0" borderId="0" xfId="0" applyFont="true" applyBorder="false" applyAlignment="true" applyProtection="false">
      <alignment horizontal="center"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center" vertical="bottom" textRotation="0" wrapText="false" indent="0" shrinkToFit="false"/>
      <protection locked="true" hidden="false"/>
    </xf>
    <xf numFmtId="164" fontId="41" fillId="0" borderId="14"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42" fillId="5" borderId="15" xfId="0" applyFont="true" applyBorder="true" applyAlignment="true" applyProtection="false">
      <alignment horizontal="general" vertical="bottom" textRotation="0" wrapText="false" indent="0" shrinkToFit="false"/>
      <protection locked="true" hidden="false"/>
    </xf>
    <xf numFmtId="166" fontId="42" fillId="5" borderId="15" xfId="0" applyFont="true" applyBorder="true" applyAlignment="true" applyProtection="false">
      <alignment horizontal="center" vertical="bottom" textRotation="0" wrapText="false" indent="0" shrinkToFit="false"/>
      <protection locked="true" hidden="false"/>
    </xf>
    <xf numFmtId="164" fontId="9" fillId="0" borderId="39" xfId="0" applyFont="true" applyBorder="true" applyAlignment="true" applyProtection="false">
      <alignment horizontal="center" vertical="bottom" textRotation="0" wrapText="false" indent="0" shrinkToFit="false"/>
      <protection locked="true" hidden="false"/>
    </xf>
    <xf numFmtId="164" fontId="9" fillId="0" borderId="14"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8" fontId="42" fillId="5" borderId="15" xfId="0" applyFont="true" applyBorder="true" applyAlignment="true" applyProtection="false">
      <alignment horizontal="center" vertical="bottom" textRotation="0" wrapText="false" indent="0" shrinkToFit="false"/>
      <protection locked="true" hidden="false"/>
    </xf>
    <xf numFmtId="164" fontId="41" fillId="0" borderId="38" xfId="0" applyFont="true" applyBorder="true" applyAlignment="true" applyProtection="false">
      <alignment horizontal="center" vertical="bottom" textRotation="0" wrapText="false" indent="0" shrinkToFit="false"/>
      <protection locked="true" hidden="false"/>
    </xf>
    <xf numFmtId="164" fontId="41" fillId="0" borderId="39" xfId="0" applyFont="true" applyBorder="true" applyAlignment="true" applyProtection="false">
      <alignment horizontal="center" vertical="bottom" textRotation="0" wrapText="false" indent="0" shrinkToFit="false"/>
      <protection locked="true" hidden="false"/>
    </xf>
    <xf numFmtId="165" fontId="42" fillId="5" borderId="15" xfId="0" applyFont="true" applyBorder="true" applyAlignment="true" applyProtection="false">
      <alignment horizontal="center" vertical="bottom" textRotation="0" wrapText="false" indent="0" shrinkToFit="false"/>
      <protection locked="true" hidden="false"/>
    </xf>
    <xf numFmtId="164" fontId="41" fillId="0" borderId="13" xfId="0" applyFont="true" applyBorder="true" applyAlignment="true" applyProtection="false">
      <alignment horizontal="general" vertical="bottom" textRotation="0" wrapText="false" indent="0" shrinkToFit="false"/>
      <protection locked="true" hidden="false"/>
    </xf>
    <xf numFmtId="164" fontId="41" fillId="0" borderId="1" xfId="0" applyFont="true" applyBorder="true" applyAlignment="true" applyProtection="false">
      <alignment horizontal="center" vertical="bottom" textRotation="0" wrapText="false" indent="0" shrinkToFit="false"/>
      <protection locked="true" hidden="false"/>
    </xf>
    <xf numFmtId="170" fontId="9" fillId="0" borderId="5" xfId="0" applyFont="true" applyBorder="true" applyAlignment="true" applyProtection="false">
      <alignment horizontal="center" vertical="bottom" textRotation="0" wrapText="false" indent="0" shrinkToFit="false"/>
      <protection locked="true" hidden="false"/>
    </xf>
    <xf numFmtId="166" fontId="9" fillId="0" borderId="5" xfId="0" applyFont="true" applyBorder="true" applyAlignment="true" applyProtection="false">
      <alignment horizontal="center" vertical="bottom" textRotation="0" wrapText="false" indent="0" shrinkToFit="false"/>
      <protection locked="true" hidden="false"/>
    </xf>
    <xf numFmtId="170" fontId="42" fillId="5" borderId="15" xfId="0" applyFont="true" applyBorder="true" applyAlignment="true" applyProtection="false">
      <alignment horizontal="center" vertical="bottom" textRotation="0" wrapText="false" indent="0" shrinkToFit="false"/>
      <protection locked="true" hidden="false"/>
    </xf>
    <xf numFmtId="170" fontId="9" fillId="0" borderId="11" xfId="0" applyFont="true" applyBorder="true" applyAlignment="true" applyProtection="false">
      <alignment horizontal="center" vertical="bottom" textRotation="0" wrapText="false" indent="0" shrinkToFit="false"/>
      <protection locked="true" hidden="false"/>
    </xf>
    <xf numFmtId="166" fontId="9" fillId="0" borderId="11" xfId="0" applyFont="true" applyBorder="true" applyAlignment="true" applyProtection="false">
      <alignment horizontal="center" vertical="bottom" textRotation="0" wrapText="false" indent="0" shrinkToFit="false"/>
      <protection locked="true" hidden="false"/>
    </xf>
    <xf numFmtId="164" fontId="9" fillId="0" borderId="19" xfId="0" applyFont="true" applyBorder="true" applyAlignment="true" applyProtection="false">
      <alignment horizontal="center" vertical="bottom" textRotation="0" wrapText="false" indent="0" shrinkToFit="false"/>
      <protection locked="true" hidden="false"/>
    </xf>
    <xf numFmtId="164" fontId="9" fillId="0" borderId="24" xfId="0" applyFont="true" applyBorder="true" applyAlignment="true" applyProtection="false">
      <alignment horizontal="center" vertical="bottom" textRotation="0" wrapText="false" indent="0" shrinkToFit="false"/>
      <protection locked="true" hidden="false"/>
    </xf>
    <xf numFmtId="166" fontId="36" fillId="6" borderId="5" xfId="0" applyFont="true" applyBorder="true" applyAlignment="true" applyProtection="false">
      <alignment horizontal="center"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6" fillId="0" borderId="46" xfId="0" applyFont="true" applyBorder="true" applyAlignment="true" applyProtection="false">
      <alignment horizontal="general" vertical="bottom" textRotation="0" wrapText="false" indent="0" shrinkToFit="false"/>
      <protection locked="true" hidden="false"/>
    </xf>
    <xf numFmtId="166" fontId="43" fillId="0" borderId="8" xfId="0" applyFont="true" applyBorder="true" applyAlignment="true" applyProtection="false">
      <alignment horizontal="center"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0" fillId="7" borderId="40" xfId="0" applyFont="true" applyBorder="true" applyAlignment="true" applyProtection="false">
      <alignment horizontal="center" vertical="center" textRotation="0" wrapText="true" indent="0" shrinkToFit="false"/>
      <protection locked="true" hidden="false"/>
    </xf>
    <xf numFmtId="164" fontId="45" fillId="7" borderId="33" xfId="0" applyFont="true" applyBorder="true" applyAlignment="true" applyProtection="false">
      <alignment horizontal="center" vertical="center" textRotation="0" wrapText="true" indent="0" shrinkToFit="false"/>
      <protection locked="true" hidden="false"/>
    </xf>
    <xf numFmtId="164" fontId="45" fillId="7" borderId="23" xfId="0" applyFont="true" applyBorder="true" applyAlignment="true" applyProtection="false">
      <alignment horizontal="center" vertical="center" textRotation="0" wrapText="true" indent="0" shrinkToFit="false"/>
      <protection locked="true" hidden="false"/>
    </xf>
    <xf numFmtId="164" fontId="44" fillId="0" borderId="0" xfId="0" applyFont="true" applyBorder="false" applyAlignment="true" applyProtection="false">
      <alignment horizontal="center" vertical="bottom" textRotation="0" wrapText="false" indent="0" shrinkToFit="false"/>
      <protection locked="true" hidden="false"/>
    </xf>
    <xf numFmtId="164" fontId="44" fillId="0" borderId="14" xfId="0" applyFont="true" applyBorder="true" applyAlignment="true" applyProtection="false">
      <alignment horizontal="general" vertical="bottom" textRotation="0" wrapText="false" indent="0" shrinkToFit="false"/>
      <protection locked="true" hidden="false"/>
    </xf>
    <xf numFmtId="164" fontId="36" fillId="7" borderId="40" xfId="0" applyFont="true" applyBorder="true" applyAlignment="true" applyProtection="false">
      <alignment horizontal="general" vertical="center" textRotation="0" wrapText="false" indent="0" shrinkToFit="false"/>
      <protection locked="true" hidden="false"/>
    </xf>
    <xf numFmtId="164" fontId="46" fillId="5" borderId="15" xfId="0" applyFont="true" applyBorder="true" applyAlignment="true" applyProtection="false">
      <alignment horizontal="left" vertical="top" textRotation="0" wrapText="true" indent="0" shrinkToFit="false"/>
      <protection locked="true" hidden="false"/>
    </xf>
    <xf numFmtId="171" fontId="46" fillId="5" borderId="15" xfId="0" applyFont="true" applyBorder="true" applyAlignment="true" applyProtection="false">
      <alignment horizontal="left" vertical="top" textRotation="0" wrapText="true" indent="0" shrinkToFit="false"/>
      <protection locked="true" hidden="false"/>
    </xf>
    <xf numFmtId="164" fontId="36" fillId="7" borderId="47" xfId="0" applyFont="true" applyBorder="true" applyAlignment="true" applyProtection="false">
      <alignment horizontal="general" vertical="bottom" textRotation="0" wrapText="false" indent="0" shrinkToFit="false"/>
      <protection locked="true" hidden="false"/>
    </xf>
    <xf numFmtId="164" fontId="36" fillId="7" borderId="48" xfId="0" applyFont="true" applyBorder="true" applyAlignment="true" applyProtection="false">
      <alignment horizontal="general" vertical="bottom" textRotation="0" wrapText="false" indent="0" shrinkToFit="false"/>
      <protection locked="true" hidden="false"/>
    </xf>
    <xf numFmtId="166" fontId="46" fillId="5" borderId="15" xfId="0" applyFont="true" applyBorder="true" applyAlignment="true" applyProtection="false">
      <alignment horizontal="left" vertical="top" textRotation="0" wrapText="true" indent="0" shrinkToFit="false"/>
      <protection locked="true" hidden="false"/>
    </xf>
    <xf numFmtId="164" fontId="44" fillId="0" borderId="19" xfId="0" applyFont="true" applyBorder="true" applyAlignment="true" applyProtection="false">
      <alignment horizontal="center" vertical="bottom" textRotation="0" wrapText="false" indent="0" shrinkToFit="false"/>
      <protection locked="true" hidden="false"/>
    </xf>
    <xf numFmtId="164" fontId="44" fillId="0" borderId="24" xfId="0" applyFont="true" applyBorder="true" applyAlignment="true" applyProtection="false">
      <alignment horizontal="general" vertical="bottom" textRotation="0" wrapText="false" indent="0" shrinkToFit="false"/>
      <protection locked="true" hidden="false"/>
    </xf>
    <xf numFmtId="164" fontId="47" fillId="6" borderId="13" xfId="0" applyFont="true" applyBorder="true" applyAlignment="true" applyProtection="false">
      <alignment horizontal="left" vertical="top" textRotation="0" wrapText="tru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8" fontId="9" fillId="4" borderId="1" xfId="0" applyFont="true" applyBorder="tru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general" vertical="bottom" textRotation="0" wrapText="false" indent="0" shrinkToFit="false"/>
      <protection locked="true" hidden="false"/>
    </xf>
    <xf numFmtId="166" fontId="9" fillId="4" borderId="1" xfId="0" applyFont="true" applyBorder="true" applyAlignment="true" applyProtection="false">
      <alignment horizontal="general" vertical="bottom" textRotation="0" wrapText="false" indent="0" shrinkToFit="false"/>
      <protection locked="true" hidden="false"/>
    </xf>
    <xf numFmtId="180" fontId="9" fillId="4" borderId="1" xfId="0" applyFont="true" applyBorder="tru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70" fontId="39" fillId="0" borderId="9"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6" fontId="39" fillId="0" borderId="0" xfId="0" applyFont="true" applyBorder="false" applyAlignment="true" applyProtection="false">
      <alignment horizontal="general" vertical="bottom" textRotation="0" wrapText="false" indent="0" shrinkToFit="false"/>
      <protection locked="true" hidden="false"/>
    </xf>
    <xf numFmtId="168" fontId="39" fillId="0" borderId="9" xfId="0" applyFont="true" applyBorder="true" applyAlignment="true" applyProtection="false">
      <alignment horizontal="center" vertical="bottom" textRotation="0" wrapText="false" indent="0" shrinkToFit="false"/>
      <protection locked="true" hidden="false"/>
    </xf>
    <xf numFmtId="181" fontId="9" fillId="0" borderId="1" xfId="0" applyFont="true" applyBorder="true" applyAlignment="true" applyProtection="false">
      <alignment horizontal="center" vertical="bottom" textRotation="0" wrapText="false" indent="0" shrinkToFit="false"/>
      <protection locked="true" hidden="false"/>
    </xf>
    <xf numFmtId="166" fontId="39" fillId="0" borderId="1" xfId="0" applyFont="true" applyBorder="true" applyAlignment="true" applyProtection="false">
      <alignment horizontal="center" vertical="bottom" textRotation="0" wrapText="false" indent="0" shrinkToFit="false"/>
      <protection locked="true" hidden="false"/>
    </xf>
    <xf numFmtId="182" fontId="39" fillId="0" borderId="1" xfId="0" applyFont="true" applyBorder="true" applyAlignment="true" applyProtection="false">
      <alignment horizontal="center" vertical="bottom" textRotation="0" wrapText="false" indent="0" shrinkToFit="false"/>
      <protection locked="true" hidden="false"/>
    </xf>
    <xf numFmtId="165" fontId="39" fillId="0" borderId="9"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73" fontId="9" fillId="0" borderId="1" xfId="0" applyFont="true" applyBorder="true" applyAlignment="true" applyProtection="false">
      <alignment horizontal="center" vertical="bottom" textRotation="0" wrapText="false" indent="0" shrinkToFit="false"/>
      <protection locked="true" hidden="false"/>
    </xf>
    <xf numFmtId="168" fontId="9" fillId="4" borderId="8" xfId="0" applyFont="true" applyBorder="tru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74" fontId="9" fillId="4" borderId="8" xfId="0" applyFont="true" applyBorder="true" applyAlignment="true" applyProtection="false">
      <alignment horizontal="general" vertical="bottom" textRotation="0" wrapText="false" indent="0" shrinkToFit="false"/>
      <protection locked="true" hidden="false"/>
    </xf>
    <xf numFmtId="164" fontId="9" fillId="6" borderId="8" xfId="0" applyFont="true" applyBorder="true" applyAlignment="true" applyProtection="false">
      <alignment horizontal="left" vertical="bottom" textRotation="0" wrapText="tru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9" fillId="8" borderId="8" xfId="0" applyFont="true" applyBorder="true" applyAlignment="true" applyProtection="false">
      <alignment horizontal="center"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0" fontId="9" fillId="4" borderId="8" xfId="0" applyFont="true" applyBorder="true" applyAlignment="true" applyProtection="false">
      <alignment horizontal="general" vertical="bottom" textRotation="0" wrapText="false" indent="0" shrinkToFit="false"/>
      <protection locked="true" hidden="false"/>
    </xf>
    <xf numFmtId="166" fontId="9" fillId="4" borderId="8" xfId="0" applyFont="true" applyBorder="true" applyAlignment="true" applyProtection="false">
      <alignment horizontal="general" vertical="bottom" textRotation="0" wrapText="false" indent="0" shrinkToFit="false"/>
      <protection locked="true" hidden="false"/>
    </xf>
    <xf numFmtId="165" fontId="39" fillId="4" borderId="8" xfId="0" applyFont="true" applyBorder="true" applyAlignment="true" applyProtection="false">
      <alignment horizontal="center" vertical="bottom" textRotation="0" wrapText="false" indent="0" shrinkToFit="false"/>
      <protection locked="true" hidden="false"/>
    </xf>
    <xf numFmtId="164" fontId="39" fillId="4" borderId="49" xfId="0" applyFont="true" applyBorder="true" applyAlignment="true" applyProtection="false">
      <alignment horizontal="center" vertical="bottom" textRotation="0" wrapText="false" indent="0" shrinkToFit="false"/>
      <protection locked="true" hidden="false"/>
    </xf>
    <xf numFmtId="166" fontId="39" fillId="4" borderId="8" xfId="0" applyFont="true" applyBorder="true" applyAlignment="true" applyProtection="false">
      <alignment horizontal="center" vertical="bottom" textRotation="0" wrapText="false" indent="0" shrinkToFit="false"/>
      <protection locked="true" hidden="false"/>
    </xf>
    <xf numFmtId="166" fontId="39" fillId="0" borderId="0" xfId="0" applyFont="true" applyBorder="false" applyAlignment="true" applyProtection="false">
      <alignment horizontal="center" vertical="bottom" textRotation="0" wrapText="false" indent="0" shrinkToFit="false"/>
      <protection locked="true" hidden="false"/>
    </xf>
    <xf numFmtId="166" fontId="49" fillId="0" borderId="0" xfId="0" applyFont="true" applyBorder="false" applyAlignment="true" applyProtection="false">
      <alignment horizontal="center"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39" fillId="6" borderId="8" xfId="0" applyFont="true" applyBorder="true" applyAlignment="true" applyProtection="false">
      <alignment horizontal="center" vertical="bottom" textRotation="0" wrapText="false" indent="0" shrinkToFit="false"/>
      <protection locked="true" hidden="false"/>
    </xf>
    <xf numFmtId="164" fontId="41" fillId="0" borderId="1" xfId="0" applyFont="true" applyBorder="true" applyAlignment="true" applyProtection="false">
      <alignment horizontal="general" vertical="bottom" textRotation="0" wrapText="false" indent="0" shrinkToFit="false"/>
      <protection locked="true" hidden="false"/>
    </xf>
    <xf numFmtId="164" fontId="53" fillId="6" borderId="11" xfId="0" applyFont="true" applyBorder="true" applyAlignment="true" applyProtection="false">
      <alignment horizontal="general" vertical="bottom" textRotation="0" wrapText="false" indent="0" shrinkToFit="false"/>
      <protection locked="true" hidden="false"/>
    </xf>
    <xf numFmtId="164" fontId="54" fillId="6" borderId="11" xfId="0" applyFont="true" applyBorder="true" applyAlignment="true" applyProtection="false">
      <alignment horizontal="general" vertical="bottom" textRotation="0" wrapText="false" indent="0" shrinkToFit="false"/>
      <protection locked="true" hidden="false"/>
    </xf>
    <xf numFmtId="164" fontId="54" fillId="6" borderId="1" xfId="0" applyFont="true" applyBorder="true" applyAlignment="true" applyProtection="false">
      <alignment horizontal="general" vertical="bottom" textRotation="0" wrapText="false" indent="0" shrinkToFit="false"/>
      <protection locked="true" hidden="false"/>
    </xf>
    <xf numFmtId="166" fontId="54" fillId="6"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6" fontId="55" fillId="0" borderId="50" xfId="0" applyFont="true" applyBorder="true" applyAlignment="true" applyProtection="false">
      <alignment horizontal="center" vertical="bottom" textRotation="0" wrapText="false" indent="0" shrinkToFit="false"/>
      <protection locked="true" hidden="false"/>
    </xf>
    <xf numFmtId="164" fontId="47" fillId="0" borderId="0" xfId="0" applyFont="true" applyBorder="true" applyAlignment="true" applyProtection="false">
      <alignment horizontal="center"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8" fontId="36" fillId="9" borderId="1" xfId="0" applyFont="true" applyBorder="true" applyAlignment="true" applyProtection="false">
      <alignment horizontal="general" vertical="bottom" textRotation="0" wrapText="false" indent="0" shrinkToFit="false"/>
      <protection locked="true" hidden="false"/>
    </xf>
    <xf numFmtId="165" fontId="48" fillId="0" borderId="5" xfId="0" applyFont="true" applyBorder="true" applyAlignment="true" applyProtection="false">
      <alignment horizontal="center" vertical="bottom" textRotation="0" wrapText="false" indent="0" shrinkToFit="false"/>
      <protection locked="true" hidden="false"/>
    </xf>
    <xf numFmtId="165" fontId="48" fillId="0" borderId="0" xfId="0" applyFont="true" applyBorder="false" applyAlignment="true" applyProtection="false">
      <alignment horizontal="general" vertical="bottom" textRotation="0" wrapText="false" indent="0" shrinkToFit="false"/>
      <protection locked="true" hidden="false"/>
    </xf>
    <xf numFmtId="165" fontId="36" fillId="0" borderId="0" xfId="0" applyFont="true" applyBorder="false" applyAlignment="true" applyProtection="false">
      <alignment horizontal="general" vertical="bottom" textRotation="0" wrapText="false" indent="0" shrinkToFit="false"/>
      <protection locked="true" hidden="false"/>
    </xf>
    <xf numFmtId="165" fontId="44" fillId="0" borderId="0" xfId="0" applyFont="true" applyBorder="false" applyAlignment="true" applyProtection="false">
      <alignment horizontal="general" vertical="bottom" textRotation="0" wrapText="false" indent="0" shrinkToFit="false"/>
      <protection locked="true" hidden="false"/>
    </xf>
    <xf numFmtId="172" fontId="48" fillId="0" borderId="1" xfId="0" applyFont="true" applyBorder="true" applyAlignment="true" applyProtection="false">
      <alignment horizontal="center" vertical="bottom" textRotation="0" wrapText="false" indent="0" shrinkToFit="false"/>
      <protection locked="true" hidden="false"/>
    </xf>
    <xf numFmtId="165" fontId="48" fillId="9" borderId="1" xfId="0" applyFont="true" applyBorder="true" applyAlignment="true" applyProtection="false">
      <alignment horizontal="center" vertical="bottom" textRotation="0" wrapText="false" indent="0" shrinkToFit="false"/>
      <protection locked="true" hidden="false"/>
    </xf>
    <xf numFmtId="165" fontId="57" fillId="0" borderId="0" xfId="0" applyFont="true" applyBorder="false" applyAlignment="true" applyProtection="false">
      <alignment horizontal="general" vertical="bottom" textRotation="0" wrapText="false" indent="0" shrinkToFit="false"/>
      <protection locked="true" hidden="false"/>
    </xf>
    <xf numFmtId="165" fontId="48" fillId="0" borderId="1" xfId="0" applyFont="true" applyBorder="true" applyAlignment="true" applyProtection="false">
      <alignment horizontal="center" vertical="bottom" textRotation="0" wrapText="false" indent="0" shrinkToFit="false"/>
      <protection locked="true" hidden="false"/>
    </xf>
    <xf numFmtId="168" fontId="48" fillId="0" borderId="1" xfId="0" applyFont="true" applyBorder="true" applyAlignment="true" applyProtection="false">
      <alignment horizontal="general" vertical="bottom" textRotation="0" wrapText="false" indent="0" shrinkToFit="false"/>
      <protection locked="true" hidden="false"/>
    </xf>
    <xf numFmtId="168" fontId="48" fillId="0" borderId="5" xfId="0" applyFont="true" applyBorder="true" applyAlignment="true" applyProtection="false">
      <alignment horizontal="general" vertical="bottom" textRotation="0" wrapText="false" indent="0" shrinkToFit="false"/>
      <protection locked="true" hidden="false"/>
    </xf>
    <xf numFmtId="168" fontId="36" fillId="0" borderId="8" xfId="0" applyFont="true" applyBorder="true" applyAlignment="true" applyProtection="false">
      <alignment horizontal="general" vertical="bottom" textRotation="0" wrapText="false" indent="0" shrinkToFit="false"/>
      <protection locked="true" hidden="false"/>
    </xf>
    <xf numFmtId="168" fontId="48" fillId="0" borderId="0" xfId="0" applyFont="true" applyBorder="false" applyAlignment="true" applyProtection="false">
      <alignment horizontal="general" vertical="bottom" textRotation="0" wrapText="false" indent="0" shrinkToFit="false"/>
      <protection locked="true" hidden="false"/>
    </xf>
    <xf numFmtId="168" fontId="36" fillId="0" borderId="0" xfId="0" applyFont="true" applyBorder="false" applyAlignment="true" applyProtection="false">
      <alignment horizontal="general" vertical="bottom" textRotation="0" wrapText="false" indent="0" shrinkToFit="false"/>
      <protection locked="true" hidden="false"/>
    </xf>
    <xf numFmtId="170" fontId="36" fillId="0" borderId="12" xfId="0" applyFont="true" applyBorder="true" applyAlignment="true" applyProtection="false">
      <alignment horizontal="general" vertical="bottom" textRotation="0" wrapText="false" indent="0" shrinkToFit="false"/>
      <protection locked="true" hidden="false"/>
    </xf>
    <xf numFmtId="183" fontId="36" fillId="0" borderId="1" xfId="0" applyFont="true" applyBorder="true" applyAlignment="true" applyProtection="false">
      <alignment horizontal="general" vertical="bottom" textRotation="0" wrapText="false" indent="0" shrinkToFit="false"/>
      <protection locked="true" hidden="false"/>
    </xf>
    <xf numFmtId="164" fontId="38" fillId="0" borderId="50" xfId="0" applyFont="true" applyBorder="true" applyAlignment="true" applyProtection="false">
      <alignment horizontal="general" vertical="bottom" textRotation="0" wrapText="false" indent="0" shrinkToFit="false"/>
      <protection locked="true" hidden="false"/>
    </xf>
    <xf numFmtId="164" fontId="38" fillId="0" borderId="51" xfId="0" applyFont="true" applyBorder="true" applyAlignment="true" applyProtection="false">
      <alignment horizontal="left" vertical="bottom" textRotation="0" wrapText="false" indent="0" shrinkToFit="false"/>
      <protection locked="true" hidden="false"/>
    </xf>
    <xf numFmtId="164" fontId="0" fillId="0" borderId="50" xfId="0" applyFont="true" applyBorder="true" applyAlignment="true" applyProtection="false">
      <alignment horizontal="general" vertical="bottom" textRotation="0" wrapText="false" indent="0" shrinkToFit="false"/>
      <protection locked="true" hidden="false"/>
    </xf>
    <xf numFmtId="164" fontId="0" fillId="0" borderId="51" xfId="0" applyFont="fals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0" xfId="0" applyFont="true" applyBorder="true" applyAlignment="true" applyProtection="false">
      <alignment horizontal="center" vertical="bottom" textRotation="0" wrapText="fals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59" fillId="6" borderId="8" xfId="0" applyFont="true" applyBorder="true" applyAlignment="true" applyProtection="false">
      <alignment horizontal="left" vertical="top" textRotation="0" wrapText="true" indent="0" shrinkToFit="false"/>
      <protection locked="true" hidden="false"/>
    </xf>
    <xf numFmtId="168" fontId="44" fillId="9" borderId="1" xfId="0" applyFont="true" applyBorder="true" applyAlignment="true" applyProtection="false">
      <alignment horizontal="general" vertical="bottom" textRotation="0" wrapText="false" indent="0" shrinkToFit="false"/>
      <protection locked="true" hidden="false"/>
    </xf>
    <xf numFmtId="164" fontId="44" fillId="0" borderId="1" xfId="0" applyFont="true" applyBorder="true" applyAlignment="true" applyProtection="false">
      <alignment horizontal="center" vertical="bottom" textRotation="0" wrapText="false" indent="0" shrinkToFit="false"/>
      <protection locked="true" hidden="false"/>
    </xf>
    <xf numFmtId="184" fontId="60" fillId="3" borderId="1" xfId="0" applyFont="true" applyBorder="true" applyAlignment="true" applyProtection="false">
      <alignment horizontal="right" vertical="bottom" textRotation="0" wrapText="false" indent="0" shrinkToFit="false"/>
      <protection locked="true" hidden="false"/>
    </xf>
    <xf numFmtId="164" fontId="55" fillId="3" borderId="1" xfId="0" applyFont="true" applyBorder="true" applyAlignment="true" applyProtection="false">
      <alignment horizontal="general" vertical="bottom" textRotation="0" wrapText="false" indent="0" shrinkToFit="false"/>
      <protection locked="true" hidden="false"/>
    </xf>
    <xf numFmtId="164" fontId="61" fillId="0" borderId="0" xfId="0" applyFont="true" applyBorder="false" applyAlignment="true" applyProtection="false">
      <alignment horizontal="general" vertical="bottom" textRotation="0" wrapText="false" indent="0" shrinkToFit="false"/>
      <protection locked="true" hidden="false"/>
    </xf>
    <xf numFmtId="166" fontId="44" fillId="3" borderId="8" xfId="0" applyFont="true" applyBorder="true" applyAlignment="true" applyProtection="false">
      <alignment horizontal="center" vertical="bottom" textRotation="0" wrapText="false" indent="0" shrinkToFit="false"/>
      <protection locked="true" hidden="false"/>
    </xf>
    <xf numFmtId="168" fontId="44" fillId="0" borderId="0" xfId="0" applyFont="true" applyBorder="false" applyAlignment="true" applyProtection="false">
      <alignment horizontal="general" vertical="bottom" textRotation="0" wrapText="false" indent="0" shrinkToFit="false"/>
      <protection locked="true" hidden="false"/>
    </xf>
    <xf numFmtId="164" fontId="44" fillId="4" borderId="1" xfId="0" applyFont="true" applyBorder="true" applyAlignment="true" applyProtection="false">
      <alignment horizontal="center" vertical="bottom" textRotation="0" wrapText="false" indent="0" shrinkToFit="false"/>
      <protection locked="true" hidden="false"/>
    </xf>
    <xf numFmtId="164" fontId="44" fillId="0" borderId="1" xfId="0" applyFont="true" applyBorder="true" applyAlignment="true" applyProtection="false">
      <alignment horizontal="general" vertical="bottom" textRotation="0" wrapText="false" indent="0" shrinkToFit="false"/>
      <protection locked="true" hidden="false"/>
    </xf>
    <xf numFmtId="168" fontId="44" fillId="4" borderId="1" xfId="0" applyFont="true" applyBorder="true" applyAlignment="true" applyProtection="false">
      <alignment horizontal="general" vertical="bottom" textRotation="0" wrapText="false" indent="0" shrinkToFit="false"/>
      <protection locked="true" hidden="false"/>
    </xf>
    <xf numFmtId="164" fontId="44" fillId="0" borderId="5" xfId="0" applyFont="true" applyBorder="true" applyAlignment="true" applyProtection="false">
      <alignment horizontal="general" vertical="bottom" textRotation="0" wrapText="false" indent="0" shrinkToFit="false"/>
      <protection locked="true" hidden="false"/>
    </xf>
    <xf numFmtId="168" fontId="44" fillId="4" borderId="5" xfId="0" applyFont="true" applyBorder="true" applyAlignment="true" applyProtection="false">
      <alignment horizontal="general" vertical="bottom" textRotation="0" wrapText="false" indent="0" shrinkToFit="false"/>
      <protection locked="true" hidden="false"/>
    </xf>
    <xf numFmtId="164" fontId="44" fillId="0" borderId="8" xfId="0" applyFont="true" applyBorder="true" applyAlignment="true" applyProtection="false">
      <alignment horizontal="general" vertical="bottom" textRotation="0" wrapText="false" indent="0" shrinkToFit="false"/>
      <protection locked="true" hidden="false"/>
    </xf>
    <xf numFmtId="164" fontId="44" fillId="4" borderId="8" xfId="0" applyFont="true" applyBorder="true" applyAlignment="true" applyProtection="false">
      <alignment horizontal="general" vertical="bottom" textRotation="0" wrapText="false" indent="0" shrinkToFit="false"/>
      <protection locked="true" hidden="false"/>
    </xf>
    <xf numFmtId="168" fontId="44" fillId="4" borderId="8" xfId="0" applyFont="true" applyBorder="true" applyAlignment="true" applyProtection="false">
      <alignment horizontal="general" vertical="bottom" textRotation="0" wrapText="false" indent="0" shrinkToFit="false"/>
      <protection locked="true" hidden="false"/>
    </xf>
    <xf numFmtId="174" fontId="44" fillId="4" borderId="8" xfId="0" applyFont="true" applyBorder="true" applyAlignment="true" applyProtection="false">
      <alignment horizontal="general" vertical="bottom" textRotation="0" wrapText="false" indent="0" shrinkToFit="false"/>
      <protection locked="true" hidden="false"/>
    </xf>
    <xf numFmtId="168" fontId="44" fillId="4" borderId="49" xfId="0" applyFont="true" applyBorder="true" applyAlignment="true" applyProtection="false">
      <alignment horizontal="general" vertical="bottom" textRotation="0" wrapText="false" indent="0" shrinkToFit="false"/>
      <protection locked="true" hidden="false"/>
    </xf>
    <xf numFmtId="170" fontId="0" fillId="4" borderId="1" xfId="0" applyFont="false" applyBorder="true" applyAlignment="true" applyProtection="false">
      <alignment horizontal="general" vertical="bottom" textRotation="0" wrapText="false" indent="0" shrinkToFit="false"/>
      <protection locked="true" hidden="false"/>
    </xf>
    <xf numFmtId="164" fontId="38" fillId="6" borderId="1" xfId="0" applyFont="true" applyBorder="true" applyAlignment="true" applyProtection="false">
      <alignment horizontal="left" vertical="top" textRotation="0" wrapText="true" indent="0" shrinkToFit="false"/>
      <protection locked="true" hidden="false"/>
    </xf>
    <xf numFmtId="164" fontId="62" fillId="0" borderId="3" xfId="0" applyFont="true" applyBorder="true" applyAlignment="true" applyProtection="false">
      <alignment horizontal="center" vertical="bottom" textRotation="0" wrapText="false" indent="0" shrinkToFit="false"/>
      <protection locked="true" hidden="false"/>
    </xf>
    <xf numFmtId="164" fontId="6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bottom" textRotation="0" wrapText="false" indent="0" shrinkToFit="false"/>
      <protection locked="true" hidden="false"/>
    </xf>
    <xf numFmtId="164" fontId="64" fillId="6" borderId="8" xfId="0" applyFont="true" applyBorder="true" applyAlignment="true" applyProtection="false">
      <alignment horizontal="left" vertical="top" textRotation="0" wrapText="true" indent="0" shrinkToFit="false"/>
      <protection locked="true" hidden="false"/>
    </xf>
    <xf numFmtId="164" fontId="65" fillId="0" borderId="1" xfId="0" applyFont="true" applyBorder="true" applyAlignment="true" applyProtection="false">
      <alignment horizontal="general" vertical="bottom" textRotation="0" wrapText="false" indent="0" shrinkToFit="false"/>
      <protection locked="true" hidden="false"/>
    </xf>
    <xf numFmtId="164" fontId="65" fillId="0" borderId="0" xfId="0" applyFont="true" applyBorder="false" applyAlignment="true" applyProtection="false">
      <alignment horizontal="general" vertical="bottom" textRotation="0" wrapText="false" indent="0" shrinkToFit="false"/>
      <protection locked="true" hidden="false"/>
    </xf>
    <xf numFmtId="164" fontId="44" fillId="3" borderId="1" xfId="0" applyFont="true" applyBorder="true" applyAlignment="true" applyProtection="false">
      <alignment horizontal="general" vertical="bottom" textRotation="0" wrapText="false" indent="0" shrinkToFit="false"/>
      <protection locked="true" hidden="false"/>
    </xf>
    <xf numFmtId="166" fontId="44" fillId="4" borderId="1" xfId="0" applyFont="true" applyBorder="true" applyAlignment="true" applyProtection="false">
      <alignment horizontal="general" vertical="bottom" textRotation="0" wrapText="false" indent="0" shrinkToFit="false"/>
      <protection locked="true" hidden="false"/>
    </xf>
    <xf numFmtId="164" fontId="44" fillId="10" borderId="0" xfId="0" applyFont="true" applyBorder="true" applyAlignment="true" applyProtection="false">
      <alignment horizontal="center" vertical="center" textRotation="0" wrapText="true" indent="0" shrinkToFit="false"/>
      <protection locked="true" hidden="false"/>
    </xf>
    <xf numFmtId="164" fontId="64" fillId="0" borderId="0" xfId="0" applyFont="true" applyBorder="false" applyAlignment="true" applyProtection="false">
      <alignment horizontal="left" vertical="top" textRotation="0" wrapText="true" indent="0" shrinkToFit="false"/>
      <protection locked="true" hidden="false"/>
    </xf>
    <xf numFmtId="164" fontId="64" fillId="3" borderId="1" xfId="0" applyFont="true" applyBorder="true" applyAlignment="true" applyProtection="false">
      <alignment horizontal="center" vertical="top" textRotation="0" wrapText="true" indent="0" shrinkToFit="false"/>
      <protection locked="true" hidden="false"/>
    </xf>
    <xf numFmtId="166" fontId="0" fillId="3" borderId="1" xfId="0" applyFont="false" applyBorder="true" applyAlignment="true" applyProtection="false">
      <alignment horizontal="center" vertical="bottom" textRotation="0" wrapText="false" indent="0" shrinkToFit="false"/>
      <protection locked="true" hidden="false"/>
    </xf>
    <xf numFmtId="166" fontId="64" fillId="4" borderId="1" xfId="0" applyFont="true" applyBorder="true" applyAlignment="true" applyProtection="false">
      <alignment horizontal="center" vertical="top" textRotation="0" wrapText="true" indent="0" shrinkToFit="false"/>
      <protection locked="true" hidden="false"/>
    </xf>
    <xf numFmtId="164" fontId="66" fillId="0" borderId="8" xfId="0" applyFont="true" applyBorder="true" applyAlignment="true" applyProtection="false">
      <alignment horizontal="center" vertical="bottom" textRotation="0" wrapText="false" indent="0" shrinkToFit="false"/>
      <protection locked="true" hidden="false"/>
    </xf>
    <xf numFmtId="164" fontId="67" fillId="7" borderId="0" xfId="0" applyFont="true" applyBorder="false" applyAlignment="true" applyProtection="false">
      <alignment horizontal="general" vertical="bottom" textRotation="0" wrapText="false" indent="0" shrinkToFit="false"/>
      <protection locked="true" hidden="false"/>
    </xf>
    <xf numFmtId="164" fontId="67" fillId="0" borderId="0" xfId="0" applyFont="true" applyBorder="false" applyAlignment="true" applyProtection="false">
      <alignment horizontal="general" vertical="bottom" textRotation="0" wrapText="false" indent="0" shrinkToFit="false"/>
      <protection locked="true" hidden="false"/>
    </xf>
    <xf numFmtId="164" fontId="0" fillId="3" borderId="1" xfId="0" applyFont="true" applyBorder="true" applyAlignment="true" applyProtection="false">
      <alignment horizontal="general" vertical="bottom" textRotation="0" wrapText="false" indent="0" shrinkToFit="false"/>
      <protection locked="true" hidden="false"/>
    </xf>
    <xf numFmtId="166" fontId="0" fillId="3" borderId="1" xfId="0" applyFont="false" applyBorder="true" applyAlignment="true" applyProtection="false">
      <alignment horizontal="general" vertical="bottom" textRotation="0" wrapText="false" indent="0" shrinkToFit="false"/>
      <protection locked="true" hidden="false"/>
    </xf>
    <xf numFmtId="164" fontId="67" fillId="7" borderId="51" xfId="0" applyFont="true" applyBorder="true" applyAlignment="true" applyProtection="false">
      <alignment horizontal="general" vertical="bottom" textRotation="0" wrapText="false" indent="0" shrinkToFit="false"/>
      <protection locked="true" hidden="false"/>
    </xf>
    <xf numFmtId="165" fontId="44" fillId="4" borderId="1" xfId="0" applyFont="true" applyBorder="true" applyAlignment="true" applyProtection="false">
      <alignment horizontal="general" vertical="bottom" textRotation="0" wrapText="false" indent="0" shrinkToFit="false"/>
      <protection locked="true" hidden="false"/>
    </xf>
    <xf numFmtId="164" fontId="44" fillId="4" borderId="1" xfId="0" applyFont="true" applyBorder="true" applyAlignment="true" applyProtection="false">
      <alignment horizontal="general" vertical="bottom" textRotation="0" wrapText="false" indent="0" shrinkToFit="false"/>
      <protection locked="true" hidden="false"/>
    </xf>
    <xf numFmtId="166" fontId="44" fillId="0" borderId="1" xfId="0" applyFont="true" applyBorder="true" applyAlignment="true" applyProtection="false">
      <alignment horizontal="general" vertical="bottom" textRotation="0" wrapText="false" indent="0" shrinkToFit="false"/>
      <protection locked="true" hidden="false"/>
    </xf>
    <xf numFmtId="185" fontId="44" fillId="4" borderId="1" xfId="0" applyFont="true" applyBorder="true" applyAlignment="true" applyProtection="false">
      <alignment horizontal="general" vertical="bottom" textRotation="0" wrapText="false" indent="0" shrinkToFit="false"/>
      <protection locked="true" hidden="false"/>
    </xf>
    <xf numFmtId="165" fontId="44" fillId="3" borderId="1" xfId="0" applyFont="true" applyBorder="true" applyAlignment="true" applyProtection="false">
      <alignment horizontal="general" vertical="bottom" textRotation="0" wrapText="false" indent="0" shrinkToFit="false"/>
      <protection locked="true" hidden="false"/>
    </xf>
    <xf numFmtId="166" fontId="44" fillId="3" borderId="1" xfId="0" applyFont="true" applyBorder="true" applyAlignment="true" applyProtection="false">
      <alignment horizontal="center" vertical="bottom" textRotation="0" wrapText="false" indent="0" shrinkToFit="false"/>
      <protection locked="true" hidden="false"/>
    </xf>
    <xf numFmtId="166" fontId="44" fillId="4" borderId="1" xfId="0" applyFont="true" applyBorder="true" applyAlignment="true" applyProtection="false">
      <alignment horizontal="center" vertical="bottom" textRotation="0" wrapText="false" indent="0" shrinkToFit="false"/>
      <protection locked="true" hidden="false"/>
    </xf>
    <xf numFmtId="166" fontId="44" fillId="3" borderId="1" xfId="0" applyFont="true" applyBorder="true" applyAlignment="true" applyProtection="false">
      <alignment horizontal="general" vertical="bottom" textRotation="0" wrapText="false" indent="0" shrinkToFit="false"/>
      <protection locked="true" hidden="false"/>
    </xf>
    <xf numFmtId="164" fontId="44" fillId="9" borderId="1" xfId="0" applyFont="true" applyBorder="true" applyAlignment="true" applyProtection="false">
      <alignment horizontal="general" vertical="bottom" textRotation="0" wrapText="false" indent="0" shrinkToFit="false"/>
      <protection locked="true" hidden="false"/>
    </xf>
    <xf numFmtId="164" fontId="44" fillId="9" borderId="1" xfId="0" applyFont="true" applyBorder="true" applyAlignment="true" applyProtection="false">
      <alignment horizontal="center" vertical="bottom" textRotation="0" wrapText="false" indent="0" shrinkToFit="false"/>
      <protection locked="true" hidden="false"/>
    </xf>
    <xf numFmtId="186" fontId="44" fillId="9" borderId="1" xfId="0" applyFont="true" applyBorder="true" applyAlignment="true" applyProtection="false">
      <alignment horizontal="general" vertical="bottom" textRotation="0" wrapText="false" indent="0" shrinkToFit="false"/>
      <protection locked="true" hidden="false"/>
    </xf>
    <xf numFmtId="187" fontId="44" fillId="3" borderId="1" xfId="0" applyFont="true" applyBorder="true" applyAlignment="true" applyProtection="false">
      <alignment horizontal="general" vertical="bottom" textRotation="0" wrapText="false" indent="0" shrinkToFit="false"/>
      <protection locked="true" hidden="false"/>
    </xf>
    <xf numFmtId="173" fontId="44" fillId="4" borderId="1" xfId="0" applyFont="true" applyBorder="true" applyAlignment="true" applyProtection="false">
      <alignment horizontal="general" vertical="bottom" textRotation="0" wrapText="false" indent="0" shrinkToFit="false"/>
      <protection locked="true" hidden="false"/>
    </xf>
    <xf numFmtId="187" fontId="44" fillId="4" borderId="1" xfId="0" applyFont="true" applyBorder="true" applyAlignment="true" applyProtection="false">
      <alignment horizontal="general" vertical="bottom" textRotation="0" wrapText="false" indent="0" shrinkToFit="false"/>
      <protection locked="true" hidden="false"/>
    </xf>
    <xf numFmtId="173" fontId="44" fillId="4" borderId="1" xfId="0" applyFont="true" applyBorder="true" applyAlignment="true" applyProtection="false">
      <alignment horizontal="center" vertical="bottom" textRotation="0" wrapText="false" indent="0" shrinkToFit="false"/>
      <protection locked="true" hidden="false"/>
    </xf>
    <xf numFmtId="171" fontId="44" fillId="4" borderId="1" xfId="0" applyFont="true" applyBorder="true" applyAlignment="true" applyProtection="false">
      <alignment horizontal="center" vertical="bottom" textRotation="0" wrapText="false" indent="0" shrinkToFit="false"/>
      <protection locked="true" hidden="false"/>
    </xf>
    <xf numFmtId="164" fontId="52" fillId="0" borderId="0" xfId="0" applyFont="true" applyBorder="fals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left" vertical="top" textRotation="0" wrapText="true" indent="0" shrinkToFit="false"/>
      <protection locked="true" hidden="false"/>
    </xf>
    <xf numFmtId="164" fontId="0" fillId="4" borderId="1" xfId="0" applyFont="true" applyBorder="true" applyAlignment="true" applyProtection="false">
      <alignment horizontal="general" vertical="bottom" textRotation="0" wrapText="false" indent="0" shrinkToFit="false"/>
      <protection locked="true" hidden="false"/>
    </xf>
    <xf numFmtId="187" fontId="0" fillId="4" borderId="1" xfId="0" applyFont="false" applyBorder="true" applyAlignment="true" applyProtection="false">
      <alignment horizontal="general" vertical="bottom" textRotation="0" wrapText="false" indent="0" shrinkToFit="false"/>
      <protection locked="true" hidden="false"/>
    </xf>
    <xf numFmtId="173" fontId="0" fillId="4" borderId="1" xfId="0" applyFont="false" applyBorder="true" applyAlignment="true" applyProtection="false">
      <alignment horizontal="general" vertical="bottom" textRotation="0" wrapText="false" indent="0" shrinkToFit="false"/>
      <protection locked="true" hidden="false"/>
    </xf>
    <xf numFmtId="173" fontId="0" fillId="4" borderId="1" xfId="0" applyFont="false" applyBorder="true" applyAlignment="true" applyProtection="false">
      <alignment horizontal="center" vertical="bottom" textRotation="0" wrapText="false" indent="0" shrinkToFit="false"/>
      <protection locked="true" hidden="false"/>
    </xf>
    <xf numFmtId="166" fontId="0" fillId="4" borderId="1" xfId="0" applyFont="false" applyBorder="true" applyAlignment="true" applyProtection="false">
      <alignment horizontal="center" vertical="bottom" textRotation="0" wrapText="false" indent="0" shrinkToFit="false"/>
      <protection locked="true" hidden="false"/>
    </xf>
    <xf numFmtId="164" fontId="62" fillId="0" borderId="0" xfId="0" applyFont="true" applyBorder="false" applyAlignment="true" applyProtection="false">
      <alignment horizontal="left" vertical="bottom" textRotation="0" wrapText="false" indent="0" shrinkToFit="false"/>
      <protection locked="true" hidden="false"/>
    </xf>
    <xf numFmtId="164" fontId="52" fillId="0" borderId="1" xfId="0" applyFont="true" applyBorder="true" applyAlignment="true" applyProtection="false">
      <alignment horizontal="center" vertical="bottom" textRotation="0" wrapText="false" indent="0" shrinkToFit="false"/>
      <protection locked="true" hidden="false"/>
    </xf>
    <xf numFmtId="169" fontId="44" fillId="4" borderId="1" xfId="0" applyFont="true" applyBorder="true" applyAlignment="true" applyProtection="false">
      <alignment horizontal="general" vertical="bottom" textRotation="0" wrapText="false" indent="0" shrinkToFit="false"/>
      <protection locked="true" hidden="false"/>
    </xf>
    <xf numFmtId="166" fontId="44" fillId="4" borderId="5" xfId="0" applyFont="true" applyBorder="true" applyAlignment="true" applyProtection="false">
      <alignment horizontal="general" vertical="bottom" textRotation="0" wrapText="false" indent="0" shrinkToFit="false"/>
      <protection locked="true" hidden="false"/>
    </xf>
    <xf numFmtId="166" fontId="44" fillId="4" borderId="9" xfId="0" applyFont="true" applyBorder="true" applyAlignment="true" applyProtection="false">
      <alignment horizontal="general" vertical="bottom" textRotation="0" wrapText="false" indent="0" shrinkToFit="false"/>
      <protection locked="true" hidden="false"/>
    </xf>
    <xf numFmtId="166" fontId="44" fillId="4" borderId="8" xfId="0" applyFont="true" applyBorder="true" applyAlignment="true" applyProtection="false">
      <alignment horizontal="general" vertical="bottom" textRotation="0" wrapText="false" indent="0" shrinkToFit="false"/>
      <protection locked="true" hidden="false"/>
    </xf>
    <xf numFmtId="164" fontId="50" fillId="0" borderId="8" xfId="0" applyFont="true" applyBorder="true" applyAlignment="true" applyProtection="false">
      <alignment horizontal="center" vertical="bottom" textRotation="0" wrapText="false" indent="0" shrinkToFit="false"/>
      <protection locked="true" hidden="false"/>
    </xf>
    <xf numFmtId="164" fontId="44" fillId="3" borderId="5" xfId="0" applyFont="true" applyBorder="true" applyAlignment="true" applyProtection="false">
      <alignment horizontal="general" vertical="bottom" textRotation="0" wrapText="false" indent="0" shrinkToFit="false"/>
      <protection locked="true" hidden="false"/>
    </xf>
    <xf numFmtId="166" fontId="0" fillId="4" borderId="8" xfId="0" applyFont="fals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general"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true" indent="0" shrinkToFit="false"/>
      <protection locked="true" hidden="false"/>
    </xf>
    <xf numFmtId="171" fontId="0" fillId="6" borderId="1" xfId="0" applyFont="true" applyBorder="true" applyAlignment="true" applyProtection="false">
      <alignment horizontal="center" vertical="bottom" textRotation="0" wrapText="true" indent="0" shrinkToFit="false"/>
      <protection locked="true" hidden="false"/>
    </xf>
    <xf numFmtId="166" fontId="0" fillId="6" borderId="1" xfId="0" applyFont="fals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85"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71" fontId="0" fillId="0" borderId="0" xfId="0" applyFont="false" applyBorder="false" applyAlignment="true" applyProtection="false">
      <alignment horizontal="center" vertical="bottom" textRotation="0" wrapText="tru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4" fontId="68" fillId="0" borderId="0" xfId="0" applyFont="true" applyBorder="false" applyAlignment="true" applyProtection="false">
      <alignment horizontal="general" vertical="bottom" textRotation="0" wrapText="false" indent="0" shrinkToFit="false"/>
      <protection locked="true" hidden="false"/>
    </xf>
    <xf numFmtId="164" fontId="69" fillId="0" borderId="0" xfId="0" applyFont="true" applyBorder="false" applyAlignment="true" applyProtection="false">
      <alignment horizontal="general" vertical="bottom" textRotation="0" wrapText="false" indent="0" shrinkToFit="false"/>
      <protection locked="true" hidden="false"/>
    </xf>
    <xf numFmtId="164" fontId="70" fillId="6" borderId="8" xfId="0" applyFont="true" applyBorder="true" applyAlignment="true" applyProtection="false">
      <alignment horizontal="center" vertical="bottom" textRotation="0" wrapText="false" indent="0" shrinkToFit="false"/>
      <protection locked="true" hidden="false"/>
    </xf>
    <xf numFmtId="164" fontId="54" fillId="6"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71" fillId="0" borderId="0" xfId="0" applyFont="true" applyBorder="false" applyAlignment="true" applyProtection="false">
      <alignment horizontal="general" vertical="bottom" textRotation="0" wrapText="false" indent="0" shrinkToFit="false"/>
      <protection locked="true" hidden="false"/>
    </xf>
    <xf numFmtId="164" fontId="71" fillId="0" borderId="1" xfId="0" applyFont="true" applyBorder="true" applyAlignment="true" applyProtection="false">
      <alignment horizontal="general" vertical="bottom" textRotation="0" wrapText="false" indent="0" shrinkToFit="false"/>
      <protection locked="true" hidden="false"/>
    </xf>
    <xf numFmtId="164" fontId="72" fillId="0" borderId="1" xfId="0" applyFont="true" applyBorder="true" applyAlignment="true" applyProtection="false">
      <alignment horizontal="center" vertical="bottom" textRotation="0" wrapText="false" indent="0" shrinkToFit="false"/>
      <protection locked="true" hidden="false"/>
    </xf>
    <xf numFmtId="164" fontId="73" fillId="0" borderId="1" xfId="0" applyFont="true" applyBorder="true" applyAlignment="true" applyProtection="false">
      <alignment horizontal="center" vertical="center" textRotation="90" wrapText="true" indent="0" shrinkToFit="false"/>
      <protection locked="true" hidden="false"/>
    </xf>
    <xf numFmtId="164" fontId="71" fillId="0" borderId="1" xfId="0" applyFont="true" applyBorder="true" applyAlignment="true" applyProtection="false">
      <alignment horizontal="center" vertical="bottom" textRotation="0" wrapText="false" indent="0" shrinkToFit="false"/>
      <protection locked="true" hidden="false"/>
    </xf>
    <xf numFmtId="166" fontId="71" fillId="6" borderId="1" xfId="0" applyFont="true" applyBorder="true" applyAlignment="true" applyProtection="false">
      <alignment horizontal="center" vertical="bottom" textRotation="0" wrapText="false" indent="0" shrinkToFit="false"/>
      <protection locked="true" hidden="false"/>
    </xf>
    <xf numFmtId="164" fontId="71" fillId="0" borderId="0" xfId="0" applyFont="true" applyBorder="false" applyAlignment="true" applyProtection="false">
      <alignment horizontal="center" vertical="bottom" textRotation="0" wrapText="false" indent="0" shrinkToFit="false"/>
      <protection locked="true" hidden="false"/>
    </xf>
    <xf numFmtId="166" fontId="71" fillId="0" borderId="0" xfId="0" applyFont="true" applyBorder="false" applyAlignment="true" applyProtection="false">
      <alignment horizontal="center" vertical="bottom" textRotation="0" wrapText="false" indent="0" shrinkToFit="false"/>
      <protection locked="true" hidden="false"/>
    </xf>
    <xf numFmtId="164" fontId="74" fillId="0" borderId="0" xfId="0" applyFont="true" applyBorder="false" applyAlignment="true" applyProtection="false">
      <alignment horizontal="general" vertical="bottom" textRotation="0" wrapText="false" indent="0" shrinkToFit="false"/>
      <protection locked="true" hidden="false"/>
    </xf>
    <xf numFmtId="164" fontId="74" fillId="0" borderId="0" xfId="0" applyFont="true" applyBorder="false" applyAlignment="true" applyProtection="false">
      <alignment horizontal="center" vertical="bottom" textRotation="0" wrapText="false" indent="0" shrinkToFit="false"/>
      <protection locked="true" hidden="false"/>
    </xf>
    <xf numFmtId="164" fontId="22" fillId="6" borderId="1" xfId="0" applyFont="true" applyBorder="true" applyAlignment="true" applyProtection="false">
      <alignment horizontal="general" vertical="bottom" textRotation="0" wrapText="false" indent="0" shrinkToFit="false"/>
      <protection locked="true" hidden="false"/>
    </xf>
    <xf numFmtId="164" fontId="21" fillId="6" borderId="1" xfId="0" applyFont="true" applyBorder="true" applyAlignment="true" applyProtection="false">
      <alignment horizontal="center" vertical="bottom" textRotation="0" wrapText="false" indent="0" shrinkToFit="false"/>
      <protection locked="true" hidden="false"/>
    </xf>
    <xf numFmtId="164" fontId="75" fillId="6" borderId="1" xfId="0" applyFont="true" applyBorder="true" applyAlignment="true" applyProtection="false">
      <alignment horizontal="center" vertical="bottom" textRotation="0" wrapText="false" indent="0" shrinkToFit="false"/>
      <protection locked="true" hidden="false"/>
    </xf>
    <xf numFmtId="164" fontId="22" fillId="6" borderId="1" xfId="0" applyFont="true" applyBorder="true" applyAlignment="true" applyProtection="false">
      <alignment horizontal="center" vertical="bottom" textRotation="0" wrapText="false" indent="0" shrinkToFit="false"/>
      <protection locked="true" hidden="false"/>
    </xf>
    <xf numFmtId="164" fontId="21" fillId="6"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4" fontId="30" fillId="6" borderId="1" xfId="0" applyFont="true" applyBorder="true" applyAlignment="true" applyProtection="false">
      <alignment horizontal="general" vertical="bottom" textRotation="0" wrapText="false" indent="0" shrinkToFit="false"/>
      <protection locked="true" hidden="false"/>
    </xf>
    <xf numFmtId="164" fontId="76" fillId="0" borderId="1" xfId="0" applyFont="true" applyBorder="true" applyAlignment="true" applyProtection="false">
      <alignment horizontal="left" vertical="bottom" textRotation="0" wrapText="false" indent="0" shrinkToFit="false"/>
      <protection locked="true" hidden="false"/>
    </xf>
    <xf numFmtId="166" fontId="77"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38" fillId="0" borderId="1" xfId="0" applyFont="true" applyBorder="true" applyAlignment="true" applyProtection="fals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79" fontId="0" fillId="0" borderId="1" xfId="0" applyFont="false" applyBorder="true" applyAlignment="true" applyProtection="false">
      <alignment horizontal="center" vertical="bottom" textRotation="0" wrapText="false" indent="0" shrinkToFit="false"/>
      <protection locked="true" hidden="false"/>
    </xf>
    <xf numFmtId="164" fontId="38" fillId="0" borderId="0" xfId="0" applyFont="true" applyBorder="true" applyAlignment="true" applyProtection="false">
      <alignment horizontal="center" vertical="bottom" textRotation="0" wrapText="false" indent="0" shrinkToFit="false"/>
      <protection locked="true" hidden="false"/>
    </xf>
    <xf numFmtId="166" fontId="78" fillId="0" borderId="1" xfId="0" applyFont="true" applyBorder="true" applyAlignment="true" applyProtection="false">
      <alignment horizontal="center" vertical="bottom" textRotation="0" wrapText="false" indent="0" shrinkToFit="false"/>
      <protection locked="true" hidden="false"/>
    </xf>
    <xf numFmtId="166" fontId="79" fillId="0" borderId="1"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true" applyProtection="false">
      <alignment horizontal="general" vertical="bottom" textRotation="0" wrapText="true" indent="0" shrinkToFit="false"/>
      <protection locked="true" hidden="false"/>
    </xf>
    <xf numFmtId="164" fontId="38" fillId="0" borderId="1" xfId="0" applyFont="true" applyBorder="true" applyAlignment="true" applyProtection="false">
      <alignment horizontal="center" vertical="bottom" textRotation="0" wrapText="true" indent="0" shrinkToFit="false"/>
      <protection locked="true" hidden="false"/>
    </xf>
    <xf numFmtId="166" fontId="38" fillId="0" borderId="1" xfId="0" applyFont="true" applyBorder="true" applyAlignment="true" applyProtection="false">
      <alignment horizontal="center" vertical="bottom" textRotation="0" wrapText="true" indent="0" shrinkToFit="false"/>
      <protection locked="true" hidden="false"/>
    </xf>
    <xf numFmtId="165" fontId="38" fillId="0" borderId="1" xfId="0" applyFont="true" applyBorder="true" applyAlignment="true" applyProtection="false">
      <alignment horizontal="center" vertical="bottom" textRotation="0" wrapText="true" indent="0" shrinkToFit="false"/>
      <protection locked="true" hidden="false"/>
    </xf>
    <xf numFmtId="164" fontId="38" fillId="0" borderId="0" xfId="0" applyFont="true" applyBorder="false" applyAlignment="true" applyProtection="false">
      <alignment horizontal="general" vertical="bottom" textRotation="0" wrapText="true" indent="0" shrinkToFit="false"/>
      <protection locked="true" hidden="false"/>
    </xf>
    <xf numFmtId="164" fontId="36" fillId="0" borderId="0" xfId="0" applyFont="true" applyBorder="false" applyAlignment="true" applyProtection="false">
      <alignment horizontal="left" vertical="bottom" textRotation="0" wrapText="false" indent="0" shrinkToFit="false"/>
      <protection locked="true" hidden="false"/>
    </xf>
    <xf numFmtId="166" fontId="36" fillId="0" borderId="0" xfId="0" applyFont="true" applyBorder="false" applyAlignment="true" applyProtection="false">
      <alignment horizontal="center" vertical="bottom" textRotation="0" wrapText="false" indent="0" shrinkToFit="false"/>
      <protection locked="true" hidden="false"/>
    </xf>
    <xf numFmtId="165" fontId="36" fillId="0" borderId="0" xfId="0" applyFont="true" applyBorder="false" applyAlignment="true" applyProtection="false">
      <alignment horizontal="center" vertical="bottom" textRotation="0" wrapText="false" indent="0" shrinkToFit="false"/>
      <protection locked="true" hidden="false"/>
    </xf>
    <xf numFmtId="166" fontId="60" fillId="0" borderId="0" xfId="0" applyFont="true" applyBorder="false" applyAlignment="true" applyProtection="false">
      <alignment horizontal="center" vertical="bottom" textRotation="0" wrapText="false" indent="0" shrinkToFit="false"/>
      <protection locked="true" hidden="false"/>
    </xf>
    <xf numFmtId="164" fontId="60" fillId="0" borderId="1" xfId="0" applyFont="true" applyBorder="tru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35" fillId="0" borderId="0" xfId="0" applyFont="true" applyBorder="false" applyAlignment="true" applyProtection="false">
      <alignment horizontal="center" vertical="bottom" textRotation="0" wrapText="false" indent="0" shrinkToFit="false"/>
      <protection locked="true" hidden="false"/>
    </xf>
    <xf numFmtId="166" fontId="35" fillId="0" borderId="51" xfId="0" applyFont="true" applyBorder="true" applyAlignment="true" applyProtection="false">
      <alignment horizontal="center" vertical="bottom" textRotation="0" wrapText="false" indent="0" shrinkToFit="false"/>
      <protection locked="true" hidden="false"/>
    </xf>
    <xf numFmtId="165" fontId="35" fillId="0" borderId="51" xfId="0" applyFont="true" applyBorder="true" applyAlignment="true" applyProtection="false">
      <alignment horizontal="center" vertical="bottom" textRotation="0" wrapText="false" indent="0" shrinkToFit="false"/>
      <protection locked="true" hidden="false"/>
    </xf>
    <xf numFmtId="165" fontId="35" fillId="0" borderId="0" xfId="0" applyFont="true" applyBorder="false" applyAlignment="true" applyProtection="false">
      <alignment horizontal="center" vertical="bottom" textRotation="0" wrapText="false" indent="0" shrinkToFit="false"/>
      <protection locked="true" hidden="false"/>
    </xf>
    <xf numFmtId="164" fontId="35" fillId="0" borderId="1" xfId="0" applyFont="true" applyBorder="true" applyAlignment="true" applyProtection="false">
      <alignment horizontal="center" vertical="bottom" textRotation="0" wrapText="true" indent="0" shrinkToFit="false"/>
      <protection locked="true" hidden="false"/>
    </xf>
    <xf numFmtId="164" fontId="35" fillId="0" borderId="10" xfId="0" applyFont="true" applyBorder="true" applyAlignment="true" applyProtection="false">
      <alignment horizontal="center" vertical="bottom" textRotation="0" wrapText="true" indent="0" shrinkToFit="false"/>
      <protection locked="true" hidden="false"/>
    </xf>
    <xf numFmtId="166" fontId="35" fillId="0" borderId="10" xfId="0" applyFont="true" applyBorder="true" applyAlignment="true" applyProtection="false">
      <alignment horizontal="center" vertical="bottom" textRotation="0" wrapText="true" indent="0" shrinkToFit="false"/>
      <protection locked="true" hidden="false"/>
    </xf>
    <xf numFmtId="165" fontId="35" fillId="0" borderId="10" xfId="0" applyFont="true" applyBorder="tru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81" fontId="0" fillId="0" borderId="0" xfId="0" applyFont="false" applyBorder="false" applyAlignment="true" applyProtection="false">
      <alignment horizontal="center" vertical="bottom" textRotation="0" wrapText="false" indent="0" shrinkToFit="false"/>
      <protection locked="true" hidden="false"/>
    </xf>
    <xf numFmtId="188" fontId="0" fillId="0" borderId="0" xfId="0" applyFont="false" applyBorder="false" applyAlignment="true" applyProtection="false">
      <alignment horizontal="general" vertical="bottom" textRotation="0" wrapText="false" indent="0" shrinkToFit="false"/>
      <protection locked="true" hidden="false"/>
    </xf>
    <xf numFmtId="164" fontId="18" fillId="6" borderId="8" xfId="0" applyFont="true" applyBorder="true" applyAlignment="true" applyProtection="false">
      <alignment horizontal="left" vertical="top" textRotation="0" wrapText="true" indent="0" shrinkToFit="false"/>
      <protection locked="true" hidden="false"/>
    </xf>
    <xf numFmtId="164" fontId="80" fillId="0" borderId="1" xfId="0" applyFont="true" applyBorder="true" applyAlignment="true" applyProtection="false">
      <alignment horizontal="general" vertical="bottom" textRotation="0" wrapText="false" indent="0" shrinkToFit="false"/>
      <protection locked="true" hidden="false"/>
    </xf>
    <xf numFmtId="170" fontId="0" fillId="0" borderId="1" xfId="0" applyFont="false" applyBorder="true" applyAlignment="true" applyProtection="false">
      <alignment horizontal="center" vertical="bottom" textRotation="0" wrapText="false" indent="0" shrinkToFit="false"/>
      <protection locked="true" hidden="false"/>
    </xf>
    <xf numFmtId="170" fontId="0" fillId="0" borderId="1" xfId="0" applyFont="false" applyBorder="true" applyAlignment="true" applyProtection="false">
      <alignment horizontal="general" vertical="bottom" textRotation="0" wrapText="false" indent="0" shrinkToFit="false"/>
      <protection locked="true" hidden="false"/>
    </xf>
    <xf numFmtId="164" fontId="81" fillId="0" borderId="0" xfId="0" applyFont="true" applyBorder="false" applyAlignment="true" applyProtection="false">
      <alignment horizontal="general" vertical="bottom" textRotation="0" wrapText="false" indent="0" shrinkToFit="false"/>
      <protection locked="true" hidden="false"/>
    </xf>
    <xf numFmtId="170" fontId="38" fillId="0" borderId="0" xfId="0" applyFont="true" applyBorder="false" applyAlignment="true" applyProtection="false">
      <alignment horizontal="center" vertical="bottom" textRotation="0" wrapText="false" indent="0" shrinkToFit="false"/>
      <protection locked="true" hidden="false"/>
    </xf>
    <xf numFmtId="170" fontId="38" fillId="0" borderId="0" xfId="0" applyFont="true" applyBorder="false" applyAlignment="true" applyProtection="false">
      <alignment horizontal="general" vertical="bottom" textRotation="0" wrapText="false" indent="0" shrinkToFit="false"/>
      <protection locked="true" hidden="false"/>
    </xf>
    <xf numFmtId="164" fontId="80" fillId="0" borderId="0" xfId="0" applyFont="true" applyBorder="false" applyAlignment="true" applyProtection="false">
      <alignment horizontal="general" vertical="bottom" textRotation="0" wrapText="false" indent="0" shrinkToFit="false"/>
      <protection locked="true" hidden="false"/>
    </xf>
    <xf numFmtId="184" fontId="60" fillId="0" borderId="0" xfId="0" applyFont="true" applyBorder="false" applyAlignment="true" applyProtection="false">
      <alignment horizontal="right" vertical="bottom" textRotation="0" wrapText="false" indent="0" shrinkToFit="false"/>
      <protection locked="true" hidden="false"/>
    </xf>
    <xf numFmtId="170" fontId="0" fillId="0" borderId="0" xfId="0" applyFont="false" applyBorder="false" applyAlignment="true" applyProtection="false">
      <alignment horizontal="center"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0" fillId="0" borderId="6" xfId="0" applyFont="true" applyBorder="true" applyAlignment="true" applyProtection="false">
      <alignment horizontal="center" vertical="center" textRotation="0" wrapText="true" indent="0" shrinkToFit="false"/>
      <protection locked="true" hidden="false"/>
    </xf>
    <xf numFmtId="170" fontId="0" fillId="3" borderId="1" xfId="0" applyFont="false" applyBorder="true" applyAlignment="true" applyProtection="false">
      <alignment horizontal="center" vertical="bottom" textRotation="0" wrapText="false" indent="0" shrinkToFit="false"/>
      <protection locked="true" hidden="false"/>
    </xf>
    <xf numFmtId="168" fontId="0" fillId="3" borderId="1" xfId="0" applyFont="false" applyBorder="true" applyAlignment="true" applyProtection="false">
      <alignment horizontal="center" vertical="bottom" textRotation="0" wrapText="false" indent="0" shrinkToFit="false"/>
      <protection locked="true" hidden="false"/>
    </xf>
    <xf numFmtId="164" fontId="82" fillId="0" borderId="0" xfId="0" applyFont="true" applyBorder="false" applyAlignment="true" applyProtection="false">
      <alignment horizontal="general" vertical="bottom" textRotation="0" wrapText="false" indent="0" shrinkToFit="false"/>
      <protection locked="true" hidden="false"/>
    </xf>
    <xf numFmtId="171" fontId="0"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135927"/>
      <rgbColor rgb="FF000080"/>
      <rgbColor rgb="FF808000"/>
      <rgbColor rgb="FF800080"/>
      <rgbColor rgb="FF008080"/>
      <rgbColor rgb="FFC0C0C0"/>
      <rgbColor rgb="FF808080"/>
      <rgbColor rgb="FF9999FF"/>
      <rgbColor rgb="FF993366"/>
      <rgbColor rgb="FFEEECE1"/>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5A6660"/>
      <rgbColor rgb="FF969696"/>
      <rgbColor rgb="FF003366"/>
      <rgbColor rgb="FF339966"/>
      <rgbColor rgb="FF0A0A0A"/>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507960</xdr:colOff>
      <xdr:row>0</xdr:row>
      <xdr:rowOff>12600</xdr:rowOff>
    </xdr:from>
    <xdr:to>
      <xdr:col>13</xdr:col>
      <xdr:colOff>685080</xdr:colOff>
      <xdr:row>16</xdr:row>
      <xdr:rowOff>151560</xdr:rowOff>
    </xdr:to>
    <xdr:pic>
      <xdr:nvPicPr>
        <xdr:cNvPr id="1" name="Picture 5"/>
        <xdr:cNvPicPr/>
      </xdr:nvPicPr>
      <xdr:blipFill>
        <a:blip r:embed="rId1"/>
        <a:stretch/>
      </xdr:blipFill>
      <xdr:spPr>
        <a:xfrm>
          <a:off x="15118200" y="12600"/>
          <a:ext cx="2740320" cy="3377520"/>
        </a:xfrm>
        <a:prstGeom prst="rect">
          <a:avLst/>
        </a:prstGeom>
        <a:noFill/>
        <a:ln w="0">
          <a:noFill/>
        </a:ln>
      </xdr:spPr>
    </xdr:pic>
    <xdr:clientData/>
  </xdr:twoCellAnchor>
</xdr:wsDr>
</file>

<file path=xl/tables/table1.xml><?xml version="1.0" encoding="utf-8"?>
<table xmlns="http://schemas.openxmlformats.org/spreadsheetml/2006/main" id="1" name="Table1" displayName="Table1" ref="A43:B141" headerRowCount="1" totalsRowCount="0" totalsRowShown="0">
  <autoFilter ref="A43:B141"/>
  <tableColumns count="2">
    <tableColumn id="1" name="Industry Name"/>
    <tableColumn id="2" name="Amortization Perio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youtu.be/kyKfJ_7-mdg?si=FIeHhnLH2_2brag3"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Relationship Id="rId3" Type="http://schemas.openxmlformats.org/officeDocument/2006/relationships/table" Target="../tables/table1.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3046875" defaultRowHeight="15" customHeight="false" zeroHeight="false" outlineLevelRow="0" outlineLevelCol="0"/>
  <cols>
    <col collapsed="false" customWidth="true" hidden="false" outlineLevel="0" max="1" min="1" style="0" width="34"/>
    <col collapsed="false" customWidth="true" hidden="false" outlineLevel="0" max="3" min="2" style="0" width="18"/>
    <col collapsed="false" customWidth="true" hidden="false" outlineLevel="0" max="4" min="4" style="0" width="90"/>
  </cols>
  <sheetData>
    <row r="1" customFormat="false" ht="17.35" hidden="false" customHeight="false" outlineLevel="0" collapsed="false">
      <c r="A1" s="1" t="s">
        <v>0</v>
      </c>
    </row>
    <row r="2" customFormat="false" ht="15" hidden="false" customHeight="false" outlineLevel="0" collapsed="false">
      <c r="A2" s="2" t="s">
        <v>1</v>
      </c>
    </row>
    <row r="4" customFormat="false" ht="26.85" hidden="false" customHeight="false" outlineLevel="0" collapsed="false">
      <c r="A4" s="3" t="s">
        <v>2</v>
      </c>
      <c r="B4" s="4" t="s">
        <v>3</v>
      </c>
      <c r="C4" s="4" t="s">
        <v>4</v>
      </c>
      <c r="D4" s="4" t="s">
        <v>5</v>
      </c>
    </row>
    <row r="5" customFormat="false" ht="15" hidden="false" customHeight="false" outlineLevel="0" collapsed="false">
      <c r="A5" s="0" t="s">
        <v>6</v>
      </c>
      <c r="B5" s="5" t="n">
        <v>1.2110393144007</v>
      </c>
      <c r="C5" s="5" t="n">
        <v>1.147684588</v>
      </c>
      <c r="D5" s="0" t="s">
        <v>7</v>
      </c>
    </row>
    <row r="6" customFormat="false" ht="15" hidden="false" customHeight="false" outlineLevel="0" collapsed="false">
      <c r="A6" s="0" t="s">
        <v>8</v>
      </c>
      <c r="B6" s="5" t="n">
        <v>1.41750476257183</v>
      </c>
      <c r="C6" s="5" t="n">
        <v>1.35223190249503</v>
      </c>
      <c r="D6" s="0" t="s">
        <v>9</v>
      </c>
    </row>
    <row r="7" customFormat="false" ht="15" hidden="false" customHeight="false" outlineLevel="0" collapsed="false">
      <c r="A7" s="0" t="s">
        <v>10</v>
      </c>
      <c r="B7" s="6" t="n">
        <v>0.05266247395751</v>
      </c>
      <c r="C7" s="6" t="n">
        <v>0.0397</v>
      </c>
      <c r="D7" s="0" t="s">
        <v>11</v>
      </c>
    </row>
    <row r="8" customFormat="false" ht="15" hidden="false" customHeight="false" outlineLevel="0" collapsed="false">
      <c r="A8" s="0" t="s">
        <v>12</v>
      </c>
      <c r="B8" s="6" t="n">
        <v>0.124149307643586</v>
      </c>
      <c r="C8" s="6" t="n">
        <v>0.103183606529053</v>
      </c>
    </row>
    <row r="9" customFormat="false" ht="15" hidden="false" customHeight="false" outlineLevel="0" collapsed="false">
      <c r="A9" s="0" t="s">
        <v>13</v>
      </c>
      <c r="B9" s="6" t="n">
        <v>0.060613</v>
      </c>
      <c r="C9" s="6" t="n">
        <v>0.060613</v>
      </c>
      <c r="D9" s="0" t="s">
        <v>14</v>
      </c>
    </row>
    <row r="10" customFormat="false" ht="15" hidden="false" customHeight="false" outlineLevel="0" collapsed="false">
      <c r="A10" s="0" t="s">
        <v>15</v>
      </c>
      <c r="B10" s="6" t="n">
        <v>0.110612273738675</v>
      </c>
      <c r="C10" s="6" t="n">
        <v>0.0930043893409667</v>
      </c>
      <c r="D10" s="0" t="s">
        <v>16</v>
      </c>
    </row>
    <row r="11" customFormat="false" ht="15" hidden="false" customHeight="false" outlineLevel="0" collapsed="false">
      <c r="A11" s="0" t="s">
        <v>17</v>
      </c>
      <c r="B11" s="5" t="n">
        <v>31.5684719085641</v>
      </c>
      <c r="C11" s="5" t="n">
        <v>38.7967406320463</v>
      </c>
      <c r="D11" s="0" t="s">
        <v>18</v>
      </c>
    </row>
    <row r="12" customFormat="false" ht="15" hidden="false" customHeight="false" outlineLevel="0" collapsed="false">
      <c r="A12" s="0" t="s">
        <v>19</v>
      </c>
      <c r="B12" s="5" t="n">
        <v>62.0900001525879</v>
      </c>
      <c r="C12" s="5" t="n">
        <v>62.0900001525879</v>
      </c>
      <c r="D12" s="0" t="s">
        <v>20</v>
      </c>
    </row>
    <row r="14" customFormat="false" ht="15" hidden="false" customHeight="false" outlineLevel="0" collapsed="false">
      <c r="A14" s="7" t="s">
        <v>21</v>
      </c>
    </row>
    <row r="15" customFormat="false" ht="15" hidden="false" customHeight="false" outlineLevel="0" collapsed="false">
      <c r="A15" s="3" t="s">
        <v>22</v>
      </c>
      <c r="B15" s="4" t="s">
        <v>23</v>
      </c>
      <c r="C15" s="4" t="s">
        <v>24</v>
      </c>
      <c r="D15" s="4" t="s">
        <v>25</v>
      </c>
    </row>
    <row r="16" customFormat="false" ht="15" hidden="false" customHeight="false" outlineLevel="0" collapsed="false">
      <c r="A16" s="0" t="s">
        <v>26</v>
      </c>
      <c r="B16" s="0" t="s">
        <v>27</v>
      </c>
      <c r="C16" s="0" t="s">
        <v>28</v>
      </c>
      <c r="D16" s="0" t="s">
        <v>29</v>
      </c>
    </row>
    <row r="17" customFormat="false" ht="15" hidden="false" customHeight="false" outlineLevel="0" collapsed="false">
      <c r="A17" s="0" t="s">
        <v>26</v>
      </c>
      <c r="B17" s="0" t="s">
        <v>30</v>
      </c>
      <c r="C17" s="0" t="s">
        <v>31</v>
      </c>
      <c r="D17" s="0" t="s">
        <v>32</v>
      </c>
    </row>
    <row r="18" customFormat="false" ht="15" hidden="false" customHeight="false" outlineLevel="0" collapsed="false">
      <c r="A18" s="0" t="s">
        <v>26</v>
      </c>
      <c r="B18" s="0" t="s">
        <v>33</v>
      </c>
      <c r="C18" s="0" t="s">
        <v>34</v>
      </c>
      <c r="D18" s="0" t="s">
        <v>35</v>
      </c>
    </row>
    <row r="19" customFormat="false" ht="15" hidden="false" customHeight="false" outlineLevel="0" collapsed="false">
      <c r="A19" s="0" t="s">
        <v>26</v>
      </c>
      <c r="B19" s="0" t="s">
        <v>36</v>
      </c>
      <c r="C19" s="0" t="s">
        <v>37</v>
      </c>
      <c r="D19" s="0" t="s">
        <v>38</v>
      </c>
    </row>
    <row r="20" customFormat="false" ht="15" hidden="false" customHeight="false" outlineLevel="0" collapsed="false">
      <c r="A20" s="0" t="s">
        <v>26</v>
      </c>
      <c r="B20" s="0" t="s">
        <v>39</v>
      </c>
      <c r="C20" s="0" t="s">
        <v>37</v>
      </c>
      <c r="D20" s="0" t="s">
        <v>40</v>
      </c>
    </row>
    <row r="21" customFormat="false" ht="15" hidden="false" customHeight="false" outlineLevel="0" collapsed="false">
      <c r="A21" s="0" t="s">
        <v>26</v>
      </c>
      <c r="B21" s="0" t="s">
        <v>41</v>
      </c>
      <c r="C21" s="0" t="n">
        <v>41871</v>
      </c>
      <c r="D21" s="0" t="s">
        <v>42</v>
      </c>
    </row>
    <row r="22" customFormat="false" ht="15" hidden="false" customHeight="false" outlineLevel="0" collapsed="false">
      <c r="A22" s="0" t="s">
        <v>26</v>
      </c>
      <c r="B22" s="0" t="s">
        <v>43</v>
      </c>
      <c r="C22" s="0" t="n">
        <v>34296</v>
      </c>
      <c r="D22" s="0" t="s">
        <v>44</v>
      </c>
    </row>
    <row r="23" customFormat="false" ht="15" hidden="false" customHeight="false" outlineLevel="0" collapsed="false">
      <c r="A23" s="0" t="s">
        <v>26</v>
      </c>
      <c r="B23" s="0" t="s">
        <v>45</v>
      </c>
      <c r="C23" s="0" t="n">
        <v>0.75</v>
      </c>
      <c r="D23" s="0" t="s">
        <v>46</v>
      </c>
    </row>
    <row r="24" customFormat="false" ht="15" hidden="false" customHeight="false" outlineLevel="0" collapsed="false">
      <c r="A24" s="0" t="s">
        <v>26</v>
      </c>
      <c r="B24" s="0" t="s">
        <v>47</v>
      </c>
      <c r="C24" s="0" t="n">
        <v>4972</v>
      </c>
      <c r="D24" s="0" t="s">
        <v>48</v>
      </c>
    </row>
    <row r="25" customFormat="false" ht="15" hidden="false" customHeight="false" outlineLevel="0" collapsed="false">
      <c r="A25" s="0" t="s">
        <v>26</v>
      </c>
      <c r="B25" s="0" t="s">
        <v>49</v>
      </c>
      <c r="C25" s="0" t="n">
        <v>2710</v>
      </c>
      <c r="D25" s="0" t="s">
        <v>50</v>
      </c>
    </row>
    <row r="26" customFormat="false" ht="15" hidden="false" customHeight="false" outlineLevel="0" collapsed="false">
      <c r="A26" s="0" t="s">
        <v>26</v>
      </c>
      <c r="B26" s="0" t="s">
        <v>51</v>
      </c>
      <c r="C26" s="0" t="n">
        <v>1018</v>
      </c>
      <c r="D26" s="0" t="s">
        <v>52</v>
      </c>
    </row>
    <row r="27" customFormat="false" ht="15" hidden="false" customHeight="false" outlineLevel="0" collapsed="false">
      <c r="A27" s="0" t="s">
        <v>26</v>
      </c>
      <c r="B27" s="0" t="s">
        <v>53</v>
      </c>
      <c r="C27" s="0" t="n">
        <v>1018</v>
      </c>
      <c r="D27" s="0" t="s">
        <v>54</v>
      </c>
    </row>
    <row r="28" customFormat="false" ht="15" hidden="false" customHeight="false" outlineLevel="0" collapsed="false">
      <c r="A28" s="0" t="s">
        <v>26</v>
      </c>
      <c r="B28" s="0" t="s">
        <v>55</v>
      </c>
      <c r="C28" s="0" t="n">
        <v>26576</v>
      </c>
      <c r="D28" s="0" t="s">
        <v>56</v>
      </c>
    </row>
    <row r="29" customFormat="false" ht="15" hidden="false" customHeight="false" outlineLevel="0" collapsed="false">
      <c r="A29" s="0" t="s">
        <v>26</v>
      </c>
      <c r="B29" s="0" t="s">
        <v>57</v>
      </c>
      <c r="C29" s="0" t="n">
        <v>24754</v>
      </c>
      <c r="D29" s="0" t="s">
        <v>58</v>
      </c>
    </row>
    <row r="30" customFormat="false" ht="15" hidden="false" customHeight="false" outlineLevel="0" collapsed="false">
      <c r="A30" s="0" t="s">
        <v>26</v>
      </c>
      <c r="B30" s="0" t="s">
        <v>59</v>
      </c>
      <c r="C30" s="0" t="n">
        <v>20244</v>
      </c>
      <c r="D30" s="0" t="s">
        <v>60</v>
      </c>
    </row>
    <row r="31" customFormat="false" ht="15" hidden="false" customHeight="false" outlineLevel="0" collapsed="false">
      <c r="A31" s="0" t="s">
        <v>26</v>
      </c>
      <c r="B31" s="0" t="s">
        <v>61</v>
      </c>
      <c r="C31" s="0" t="n">
        <v>22365</v>
      </c>
      <c r="D31" s="0" t="s">
        <v>62</v>
      </c>
    </row>
    <row r="32" customFormat="false" ht="15" hidden="false" customHeight="false" outlineLevel="0" collapsed="false">
      <c r="A32" s="0" t="s">
        <v>26</v>
      </c>
      <c r="B32" s="0" t="s">
        <v>63</v>
      </c>
      <c r="C32" s="0" t="s">
        <v>64</v>
      </c>
      <c r="D32" s="0" t="s">
        <v>65</v>
      </c>
    </row>
    <row r="33" customFormat="false" ht="15" hidden="false" customHeight="false" outlineLevel="0" collapsed="false">
      <c r="A33" s="0" t="s">
        <v>26</v>
      </c>
      <c r="B33" s="0" t="s">
        <v>66</v>
      </c>
      <c r="C33" s="0" t="s">
        <v>64</v>
      </c>
      <c r="D33" s="0" t="s">
        <v>67</v>
      </c>
    </row>
    <row r="34" customFormat="false" ht="15" hidden="false" customHeight="false" outlineLevel="0" collapsed="false">
      <c r="A34" s="0" t="s">
        <v>26</v>
      </c>
      <c r="B34" s="0" t="s">
        <v>68</v>
      </c>
      <c r="C34" s="0" t="n">
        <v>6216</v>
      </c>
      <c r="D34" s="0" t="s">
        <v>69</v>
      </c>
    </row>
    <row r="35" customFormat="false" ht="15" hidden="false" customHeight="false" outlineLevel="0" collapsed="false">
      <c r="A35" s="0" t="s">
        <v>26</v>
      </c>
      <c r="B35" s="0" t="s">
        <v>70</v>
      </c>
      <c r="C35" s="0" t="n">
        <v>5773</v>
      </c>
      <c r="D35" s="0" t="s">
        <v>71</v>
      </c>
    </row>
    <row r="36" customFormat="false" ht="15" hidden="false" customHeight="false" outlineLevel="0" collapsed="false">
      <c r="A36" s="0" t="s">
        <v>26</v>
      </c>
      <c r="B36" s="0" t="s">
        <v>72</v>
      </c>
      <c r="C36" s="0" t="n">
        <v>0</v>
      </c>
      <c r="D36" s="0" t="s">
        <v>73</v>
      </c>
    </row>
    <row r="37" customFormat="false" ht="15" hidden="false" customHeight="false" outlineLevel="0" collapsed="false">
      <c r="A37" s="0" t="s">
        <v>26</v>
      </c>
      <c r="B37" s="0" t="s">
        <v>74</v>
      </c>
      <c r="C37" s="0" t="n">
        <v>955</v>
      </c>
      <c r="D37" s="0" t="s">
        <v>75</v>
      </c>
    </row>
    <row r="38" customFormat="false" ht="15" hidden="false" customHeight="false" outlineLevel="0" collapsed="false">
      <c r="A38" s="0" t="s">
        <v>26</v>
      </c>
      <c r="B38" s="0" t="s">
        <v>76</v>
      </c>
      <c r="C38" s="0" t="n">
        <v>62</v>
      </c>
      <c r="D38" s="0" t="s">
        <v>77</v>
      </c>
    </row>
    <row r="39" customFormat="false" ht="15" hidden="false" customHeight="false" outlineLevel="0" collapsed="false">
      <c r="A39" s="0" t="s">
        <v>26</v>
      </c>
      <c r="B39" s="0" t="s">
        <v>78</v>
      </c>
      <c r="C39" s="0" t="n">
        <v>66</v>
      </c>
      <c r="D39" s="0" t="s">
        <v>79</v>
      </c>
    </row>
    <row r="40" customFormat="false" ht="15" hidden="false" customHeight="false" outlineLevel="0" collapsed="false">
      <c r="A40" s="0" t="s">
        <v>26</v>
      </c>
      <c r="B40" s="0" t="s">
        <v>80</v>
      </c>
      <c r="C40" s="0" t="n">
        <v>1445.21</v>
      </c>
      <c r="D40" s="0" t="s">
        <v>81</v>
      </c>
    </row>
    <row r="41" customFormat="false" ht="15" hidden="false" customHeight="false" outlineLevel="0" collapsed="false">
      <c r="A41" s="0" t="s">
        <v>26</v>
      </c>
      <c r="B41" s="0" t="s">
        <v>82</v>
      </c>
      <c r="C41" s="0" t="n">
        <v>62.09</v>
      </c>
      <c r="D41" s="0" t="s">
        <v>83</v>
      </c>
    </row>
    <row r="42" customFormat="false" ht="15" hidden="false" customHeight="false" outlineLevel="0" collapsed="false">
      <c r="A42" s="0" t="s">
        <v>26</v>
      </c>
      <c r="B42" s="0" t="s">
        <v>84</v>
      </c>
      <c r="C42" s="0" t="n">
        <v>0.17</v>
      </c>
      <c r="D42" s="0" t="s">
        <v>85</v>
      </c>
    </row>
    <row r="43" customFormat="false" ht="15" hidden="false" customHeight="false" outlineLevel="0" collapsed="false">
      <c r="A43" s="0" t="s">
        <v>26</v>
      </c>
      <c r="B43" s="0" t="s">
        <v>86</v>
      </c>
      <c r="C43" s="0" t="n">
        <v>0.21</v>
      </c>
      <c r="D43" s="0" t="s">
        <v>87</v>
      </c>
    </row>
    <row r="44" customFormat="false" ht="15" hidden="false" customHeight="false" outlineLevel="0" collapsed="false">
      <c r="A44" s="0" t="s">
        <v>26</v>
      </c>
      <c r="B44" s="0" t="s">
        <v>88</v>
      </c>
      <c r="C44" s="0" t="n">
        <v>0.3</v>
      </c>
      <c r="D44" s="0" t="s">
        <v>89</v>
      </c>
    </row>
    <row r="45" customFormat="false" ht="15" hidden="false" customHeight="false" outlineLevel="0" collapsed="false">
      <c r="A45" s="0" t="s">
        <v>26</v>
      </c>
      <c r="B45" s="0" t="s">
        <v>90</v>
      </c>
      <c r="C45" s="0" t="n">
        <v>0.127</v>
      </c>
      <c r="D45" s="0" t="s">
        <v>91</v>
      </c>
    </row>
    <row r="46" customFormat="false" ht="15" hidden="false" customHeight="false" outlineLevel="0" collapsed="false">
      <c r="A46" s="0" t="s">
        <v>26</v>
      </c>
      <c r="B46" s="0" t="s">
        <v>92</v>
      </c>
      <c r="C46" s="0" t="n">
        <v>0.05</v>
      </c>
      <c r="D46" s="0" t="s">
        <v>93</v>
      </c>
    </row>
    <row r="47" customFormat="false" ht="15" hidden="false" customHeight="false" outlineLevel="0" collapsed="false">
      <c r="A47" s="0" t="s">
        <v>26</v>
      </c>
      <c r="B47" s="0" t="s">
        <v>94</v>
      </c>
      <c r="C47" s="0" t="n">
        <v>0.107</v>
      </c>
      <c r="D47" s="0" t="s">
        <v>95</v>
      </c>
    </row>
    <row r="48" customFormat="false" ht="15" hidden="false" customHeight="false" outlineLevel="0" collapsed="false">
      <c r="A48" s="0" t="s">
        <v>26</v>
      </c>
      <c r="B48" s="0" t="s">
        <v>96</v>
      </c>
      <c r="C48" s="0" t="n">
        <v>3</v>
      </c>
      <c r="D48" s="0" t="s">
        <v>97</v>
      </c>
    </row>
    <row r="49" customFormat="false" ht="15" hidden="false" customHeight="false" outlineLevel="0" collapsed="false">
      <c r="A49" s="0" t="s">
        <v>26</v>
      </c>
      <c r="B49" s="0" t="s">
        <v>98</v>
      </c>
      <c r="C49" s="0" t="n">
        <v>6</v>
      </c>
      <c r="D49" s="0" t="s">
        <v>99</v>
      </c>
    </row>
    <row r="50" customFormat="false" ht="15" hidden="false" customHeight="false" outlineLevel="0" collapsed="false">
      <c r="A50" s="0" t="s">
        <v>26</v>
      </c>
      <c r="B50" s="0" t="s">
        <v>100</v>
      </c>
      <c r="C50" s="0" t="n">
        <v>6</v>
      </c>
      <c r="D50" s="0" t="s">
        <v>101</v>
      </c>
    </row>
    <row r="51" customFormat="false" ht="15" hidden="false" customHeight="false" outlineLevel="0" collapsed="false">
      <c r="A51" s="0" t="s">
        <v>26</v>
      </c>
      <c r="B51" s="0" t="s">
        <v>102</v>
      </c>
      <c r="C51" s="0" t="n">
        <v>0.0495</v>
      </c>
      <c r="D51" s="0" t="s">
        <v>103</v>
      </c>
    </row>
    <row r="52" customFormat="false" ht="15" hidden="false" customHeight="false" outlineLevel="0" collapsed="false">
      <c r="A52" s="0" t="s">
        <v>26</v>
      </c>
      <c r="B52" s="0" t="s">
        <v>104</v>
      </c>
      <c r="C52" s="6" t="n">
        <f aca="false">'Cost of capital worksheet'!B13</f>
        <v>0.110612273738674</v>
      </c>
      <c r="D52" s="0" t="s">
        <v>105</v>
      </c>
    </row>
    <row r="53" customFormat="false" ht="15" hidden="false" customHeight="false" outlineLevel="0" collapsed="false">
      <c r="A53" s="0" t="s">
        <v>26</v>
      </c>
      <c r="B53" s="0" t="s">
        <v>106</v>
      </c>
      <c r="C53" s="0" t="s">
        <v>64</v>
      </c>
      <c r="D53" s="0" t="s">
        <v>107</v>
      </c>
    </row>
    <row r="54" customFormat="false" ht="15" hidden="false" customHeight="false" outlineLevel="0" collapsed="false">
      <c r="A54" s="0" t="s">
        <v>26</v>
      </c>
      <c r="B54" s="0" t="s">
        <v>108</v>
      </c>
      <c r="C54" s="0" t="s">
        <v>109</v>
      </c>
      <c r="D54" s="0" t="s">
        <v>110</v>
      </c>
    </row>
    <row r="55" customFormat="false" ht="15" hidden="false" customHeight="false" outlineLevel="0" collapsed="false">
      <c r="A55" s="0" t="s">
        <v>26</v>
      </c>
      <c r="B55" s="0" t="s">
        <v>111</v>
      </c>
      <c r="C55" s="0" t="n">
        <v>0.0275</v>
      </c>
      <c r="D55" s="0" t="s">
        <v>112</v>
      </c>
    </row>
    <row r="56" customFormat="false" ht="15" hidden="false" customHeight="false" outlineLevel="0" collapsed="false">
      <c r="A56" s="0" t="s">
        <v>113</v>
      </c>
      <c r="B56" s="0" t="s">
        <v>41</v>
      </c>
      <c r="C56" s="0" t="s">
        <v>114</v>
      </c>
      <c r="D56" s="0" t="s">
        <v>115</v>
      </c>
    </row>
    <row r="57" customFormat="false" ht="15" hidden="false" customHeight="false" outlineLevel="0" collapsed="false">
      <c r="A57" s="0" t="s">
        <v>113</v>
      </c>
      <c r="B57" s="0" t="s">
        <v>80</v>
      </c>
      <c r="C57" s="0" t="s">
        <v>116</v>
      </c>
      <c r="D57" s="0" t="s">
        <v>117</v>
      </c>
    </row>
    <row r="58" customFormat="false" ht="15" hidden="false" customHeight="false" outlineLevel="0" collapsed="false">
      <c r="A58" s="0" t="s">
        <v>113</v>
      </c>
      <c r="B58" s="0" t="s">
        <v>118</v>
      </c>
      <c r="C58" s="0" t="s">
        <v>37</v>
      </c>
      <c r="D58" s="0" t="s">
        <v>119</v>
      </c>
    </row>
    <row r="59" customFormat="false" ht="15" hidden="false" customHeight="false" outlineLevel="0" collapsed="false">
      <c r="A59" s="0" t="s">
        <v>113</v>
      </c>
      <c r="B59" s="0" t="s">
        <v>120</v>
      </c>
      <c r="C59" s="0" t="n">
        <v>30860</v>
      </c>
      <c r="D59" s="0" t="s">
        <v>121</v>
      </c>
    </row>
    <row r="60" customFormat="false" ht="15" hidden="false" customHeight="false" outlineLevel="0" collapsed="false">
      <c r="A60" s="0" t="s">
        <v>113</v>
      </c>
      <c r="B60" s="0" t="s">
        <v>122</v>
      </c>
      <c r="C60" s="0" t="s">
        <v>123</v>
      </c>
      <c r="D60" s="0" t="s">
        <v>124</v>
      </c>
    </row>
    <row r="61" customFormat="false" ht="15" hidden="false" customHeight="false" outlineLevel="0" collapsed="false">
      <c r="A61" s="0" t="s">
        <v>113</v>
      </c>
      <c r="B61" s="0" t="s">
        <v>125</v>
      </c>
      <c r="C61" s="0" t="n">
        <v>11011</v>
      </c>
      <c r="D61" s="0" t="s">
        <v>126</v>
      </c>
    </row>
    <row r="62" customFormat="false" ht="15" hidden="false" customHeight="false" outlineLevel="0" collapsed="false">
      <c r="A62" s="0" t="s">
        <v>113</v>
      </c>
      <c r="B62" s="0" t="s">
        <v>127</v>
      </c>
      <c r="C62" s="0" t="s">
        <v>128</v>
      </c>
      <c r="D62" s="0" t="s">
        <v>129</v>
      </c>
    </row>
    <row r="63" customFormat="false" ht="15" hidden="false" customHeight="false" outlineLevel="0" collapsed="false">
      <c r="A63" s="0" t="s">
        <v>113</v>
      </c>
      <c r="B63" s="0" t="s">
        <v>130</v>
      </c>
      <c r="C63" s="0" t="n">
        <v>0</v>
      </c>
      <c r="D63" s="0" t="s">
        <v>131</v>
      </c>
    </row>
    <row r="64" customFormat="false" ht="15" hidden="false" customHeight="false" outlineLevel="0" collapsed="false">
      <c r="A64" s="0" t="s">
        <v>113</v>
      </c>
      <c r="B64" s="0" t="s">
        <v>132</v>
      </c>
      <c r="C64" s="0" t="n">
        <v>6938</v>
      </c>
      <c r="D64" s="0" t="s">
        <v>133</v>
      </c>
    </row>
    <row r="65" customFormat="false" ht="15" hidden="false" customHeight="false" outlineLevel="0" collapsed="false">
      <c r="A65" s="0" t="s">
        <v>113</v>
      </c>
      <c r="B65" s="0" t="s">
        <v>134</v>
      </c>
      <c r="C65" s="0" t="n">
        <v>0</v>
      </c>
      <c r="D65" s="0" t="s">
        <v>135</v>
      </c>
    </row>
    <row r="66" customFormat="false" ht="15" hidden="false" customHeight="false" outlineLevel="0" collapsed="false">
      <c r="A66" s="0" t="s">
        <v>113</v>
      </c>
      <c r="B66" s="0" t="s">
        <v>136</v>
      </c>
      <c r="C66" s="0" t="n">
        <v>0</v>
      </c>
      <c r="D66" s="0" t="s">
        <v>137</v>
      </c>
    </row>
    <row r="67" customFormat="false" ht="15" hidden="false" customHeight="false" outlineLevel="0" collapsed="false">
      <c r="A67" s="0" t="s">
        <v>113</v>
      </c>
      <c r="B67" s="0" t="s">
        <v>138</v>
      </c>
      <c r="C67" s="0" t="n">
        <v>2446</v>
      </c>
      <c r="D67" s="0" t="s">
        <v>139</v>
      </c>
    </row>
    <row r="68" customFormat="false" ht="15" hidden="false" customHeight="false" outlineLevel="0" collapsed="false">
      <c r="A68" s="0" t="s">
        <v>113</v>
      </c>
      <c r="B68" s="0" t="s">
        <v>140</v>
      </c>
      <c r="C68" s="0" t="n">
        <v>0</v>
      </c>
      <c r="D68" s="0" t="s">
        <v>141</v>
      </c>
    </row>
    <row r="69" customFormat="false" ht="15" hidden="false" customHeight="false" outlineLevel="0" collapsed="false">
      <c r="A69" s="0" t="s">
        <v>113</v>
      </c>
      <c r="B69" s="0" t="s">
        <v>142</v>
      </c>
      <c r="C69" s="0" t="n">
        <v>0</v>
      </c>
      <c r="D69" s="0" t="s">
        <v>143</v>
      </c>
    </row>
    <row r="70" customFormat="false" ht="15" hidden="false" customHeight="false" outlineLevel="0" collapsed="false">
      <c r="A70" s="0" t="s">
        <v>113</v>
      </c>
      <c r="B70" s="0" t="s">
        <v>144</v>
      </c>
      <c r="C70" s="0" t="n">
        <v>13402</v>
      </c>
      <c r="D70" s="0" t="s">
        <v>145</v>
      </c>
    </row>
    <row r="71" customFormat="false" ht="15" hidden="false" customHeight="false" outlineLevel="0" collapsed="false">
      <c r="A71" s="0" t="s">
        <v>113</v>
      </c>
      <c r="B71" s="0" t="s">
        <v>146</v>
      </c>
      <c r="C71" s="0" t="n">
        <v>11510</v>
      </c>
      <c r="D71" s="0" t="s">
        <v>147</v>
      </c>
    </row>
    <row r="72" customFormat="false" ht="15" hidden="false" customHeight="false" outlineLevel="0" collapsed="false">
      <c r="A72" s="0" t="s">
        <v>113</v>
      </c>
      <c r="B72" s="0" t="s">
        <v>100</v>
      </c>
      <c r="C72" s="0" t="n">
        <v>5</v>
      </c>
      <c r="D72" s="0" t="s">
        <v>148</v>
      </c>
    </row>
    <row r="73" customFormat="false" ht="15" hidden="false" customHeight="false" outlineLevel="0" collapsed="false">
      <c r="A73" s="0" t="s">
        <v>113</v>
      </c>
      <c r="B73" s="0" t="s">
        <v>149</v>
      </c>
      <c r="C73" s="0" t="s">
        <v>150</v>
      </c>
      <c r="D73" s="0" t="s">
        <v>151</v>
      </c>
    </row>
    <row r="74" customFormat="false" ht="15" hidden="false" customHeight="false" outlineLevel="0" collapsed="false">
      <c r="A74" s="0" t="s">
        <v>113</v>
      </c>
      <c r="B74" s="0" t="s">
        <v>104</v>
      </c>
      <c r="C74" s="0" t="s">
        <v>152</v>
      </c>
      <c r="D74" s="0" t="s">
        <v>153</v>
      </c>
    </row>
    <row r="75" customFormat="false" ht="15" hidden="false" customHeight="false" outlineLevel="0" collapsed="false">
      <c r="A75" s="0" t="s">
        <v>113</v>
      </c>
      <c r="B75" s="0" t="s">
        <v>154</v>
      </c>
      <c r="C75" s="0" t="n">
        <v>0</v>
      </c>
      <c r="D75" s="0" t="s">
        <v>155</v>
      </c>
    </row>
    <row r="76" customFormat="false" ht="15" hidden="false" customHeight="false" outlineLevel="0" collapsed="false">
      <c r="A76" s="0" t="s">
        <v>113</v>
      </c>
      <c r="B76" s="0" t="s">
        <v>156</v>
      </c>
      <c r="C76" s="0" t="n">
        <v>0</v>
      </c>
    </row>
    <row r="77" customFormat="false" ht="15" hidden="false" customHeight="false" outlineLevel="0" collapsed="false">
      <c r="A77" s="0" t="s">
        <v>113</v>
      </c>
      <c r="B77" s="0" t="s">
        <v>157</v>
      </c>
      <c r="C77" s="0" t="n">
        <v>0</v>
      </c>
    </row>
    <row r="78" customFormat="false" ht="15" hidden="false" customHeight="false" outlineLevel="0" collapsed="false">
      <c r="A78" s="0" t="s">
        <v>113</v>
      </c>
      <c r="B78" s="0" t="s">
        <v>158</v>
      </c>
      <c r="C78" s="0" t="n">
        <v>0</v>
      </c>
    </row>
    <row r="79" customFormat="false" ht="15" hidden="false" customHeight="false" outlineLevel="0" collapsed="false">
      <c r="A79" s="0" t="s">
        <v>113</v>
      </c>
      <c r="B79" s="0" t="s">
        <v>159</v>
      </c>
      <c r="C79" s="0" t="n">
        <v>0</v>
      </c>
      <c r="D79" s="0" t="s">
        <v>160</v>
      </c>
    </row>
    <row r="80" customFormat="false" ht="15" hidden="false" customHeight="false" outlineLevel="0" collapsed="false">
      <c r="A80" s="0" t="s">
        <v>113</v>
      </c>
      <c r="B80" s="0" t="s">
        <v>161</v>
      </c>
      <c r="C80" s="0" t="n">
        <v>50</v>
      </c>
      <c r="D80" s="0" t="s">
        <v>162</v>
      </c>
    </row>
    <row r="81" customFormat="false" ht="15" hidden="false" customHeight="false" outlineLevel="0" collapsed="false">
      <c r="A81" s="0" t="s">
        <v>113</v>
      </c>
      <c r="B81" s="0" t="s">
        <v>163</v>
      </c>
      <c r="C81" s="0" t="n">
        <v>3.8125</v>
      </c>
      <c r="D81" s="0" t="s">
        <v>164</v>
      </c>
    </row>
    <row r="82" customFormat="false" ht="15" hidden="false" customHeight="false" outlineLevel="0" collapsed="false">
      <c r="A82" s="0" t="s">
        <v>165</v>
      </c>
      <c r="B82" s="0" t="s">
        <v>33</v>
      </c>
      <c r="C82" s="0" t="n">
        <v>34296</v>
      </c>
      <c r="D82" s="0" t="s">
        <v>166</v>
      </c>
    </row>
    <row r="83" customFormat="false" ht="15" hidden="false" customHeight="false" outlineLevel="0" collapsed="false">
      <c r="A83" s="0" t="s">
        <v>165</v>
      </c>
      <c r="B83" s="0" t="s">
        <v>167</v>
      </c>
      <c r="C83" s="0" t="n">
        <v>24617</v>
      </c>
      <c r="D83" s="0" t="s">
        <v>168</v>
      </c>
    </row>
    <row r="84" customFormat="false" ht="15" hidden="false" customHeight="false" outlineLevel="0" collapsed="false">
      <c r="A84" s="0" t="s">
        <v>165</v>
      </c>
      <c r="B84" s="0" t="s">
        <v>169</v>
      </c>
      <c r="C84" s="0" t="n">
        <v>32192</v>
      </c>
      <c r="D84" s="0" t="s">
        <v>170</v>
      </c>
    </row>
    <row r="85" customFormat="false" ht="15" hidden="false" customHeight="false" outlineLevel="0" collapsed="false">
      <c r="A85" s="0" t="s">
        <v>165</v>
      </c>
      <c r="B85" s="0" t="s">
        <v>36</v>
      </c>
      <c r="C85" s="0" t="n">
        <v>2518</v>
      </c>
      <c r="D85" s="0" t="s">
        <v>171</v>
      </c>
    </row>
    <row r="86" customFormat="false" ht="15" hidden="false" customHeight="false" outlineLevel="0" collapsed="false">
      <c r="A86" s="0" t="s">
        <v>165</v>
      </c>
      <c r="B86" s="0" t="s">
        <v>172</v>
      </c>
      <c r="C86" s="0" t="n">
        <v>1637</v>
      </c>
      <c r="D86" s="0" t="s">
        <v>173</v>
      </c>
    </row>
    <row r="87" customFormat="false" ht="15" hidden="false" customHeight="false" outlineLevel="0" collapsed="false">
      <c r="A87" s="0" t="s">
        <v>165</v>
      </c>
      <c r="B87" s="0" t="s">
        <v>174</v>
      </c>
      <c r="C87" s="0" t="n">
        <v>2824</v>
      </c>
      <c r="D87" s="0" t="s">
        <v>175</v>
      </c>
    </row>
    <row r="88" customFormat="false" ht="15" hidden="false" customHeight="false" outlineLevel="0" collapsed="false">
      <c r="A88" s="0" t="s">
        <v>165</v>
      </c>
      <c r="B88" s="0" t="s">
        <v>39</v>
      </c>
      <c r="C88" s="0" t="n">
        <v>2710</v>
      </c>
      <c r="D88" s="0" t="s">
        <v>176</v>
      </c>
    </row>
    <row r="89" customFormat="false" ht="15" hidden="false" customHeight="false" outlineLevel="0" collapsed="false">
      <c r="A89" s="0" t="s">
        <v>165</v>
      </c>
      <c r="B89" s="0" t="s">
        <v>177</v>
      </c>
      <c r="C89" s="0" t="n">
        <v>1723</v>
      </c>
      <c r="D89" s="0" t="s">
        <v>178</v>
      </c>
    </row>
    <row r="90" customFormat="false" ht="15" hidden="false" customHeight="false" outlineLevel="0" collapsed="false">
      <c r="A90" s="0" t="s">
        <v>165</v>
      </c>
      <c r="B90" s="0" t="s">
        <v>179</v>
      </c>
      <c r="C90" s="0" t="n">
        <v>3985</v>
      </c>
      <c r="D90" s="0" t="s">
        <v>180</v>
      </c>
    </row>
    <row r="91" customFormat="false" ht="15" hidden="false" customHeight="false" outlineLevel="0" collapsed="false">
      <c r="A91" s="0" t="s">
        <v>165</v>
      </c>
      <c r="B91" s="0" t="s">
        <v>181</v>
      </c>
      <c r="C91" s="0" t="n">
        <v>1018</v>
      </c>
      <c r="D91" s="0" t="s">
        <v>182</v>
      </c>
    </row>
    <row r="92" customFormat="false" ht="15" hidden="false" customHeight="false" outlineLevel="0" collapsed="false">
      <c r="A92" s="0" t="s">
        <v>165</v>
      </c>
      <c r="B92" s="0" t="s">
        <v>183</v>
      </c>
      <c r="C92" s="0" t="n">
        <v>0</v>
      </c>
      <c r="D92" s="0" t="s">
        <v>184</v>
      </c>
    </row>
    <row r="93" customFormat="false" ht="15" hidden="false" customHeight="false" outlineLevel="0" collapsed="false">
      <c r="A93" s="0" t="s">
        <v>165</v>
      </c>
      <c r="B93" s="0" t="s">
        <v>185</v>
      </c>
      <c r="C93" s="0" t="n">
        <v>0</v>
      </c>
      <c r="D93" s="0" t="s">
        <v>186</v>
      </c>
    </row>
    <row r="94" customFormat="false" ht="15" hidden="false" customHeight="false" outlineLevel="0" collapsed="false">
      <c r="A94" s="0" t="s">
        <v>165</v>
      </c>
      <c r="B94" s="0" t="s">
        <v>41</v>
      </c>
      <c r="C94" s="0" t="n">
        <v>24754</v>
      </c>
      <c r="D94" s="0" t="s">
        <v>187</v>
      </c>
    </row>
    <row r="95" customFormat="false" ht="15" hidden="false" customHeight="false" outlineLevel="0" collapsed="false">
      <c r="A95" s="0" t="s">
        <v>165</v>
      </c>
      <c r="B95" s="0" t="s">
        <v>45</v>
      </c>
      <c r="C95" s="0" t="n">
        <v>26576</v>
      </c>
      <c r="D95" s="0" t="s">
        <v>188</v>
      </c>
    </row>
    <row r="96" customFormat="false" ht="15" hidden="false" customHeight="false" outlineLevel="0" collapsed="false">
      <c r="A96" s="0" t="s">
        <v>165</v>
      </c>
      <c r="B96" s="0" t="s">
        <v>47</v>
      </c>
      <c r="C96" s="0" t="n">
        <v>22365</v>
      </c>
      <c r="D96" s="0" t="s">
        <v>189</v>
      </c>
    </row>
    <row r="97" customFormat="false" ht="15" hidden="false" customHeight="false" outlineLevel="0" collapsed="false">
      <c r="A97" s="0" t="s">
        <v>165</v>
      </c>
      <c r="B97" s="0" t="s">
        <v>190</v>
      </c>
      <c r="C97" s="0" t="n">
        <v>20244</v>
      </c>
      <c r="D97" s="0" t="s">
        <v>191</v>
      </c>
    </row>
    <row r="98" customFormat="false" ht="15" hidden="false" customHeight="false" outlineLevel="0" collapsed="false">
      <c r="A98" s="0" t="s">
        <v>165</v>
      </c>
      <c r="B98" s="0" t="s">
        <v>55</v>
      </c>
      <c r="C98" s="0" t="n">
        <v>6728</v>
      </c>
      <c r="D98" s="0" t="s">
        <v>192</v>
      </c>
    </row>
    <row r="99" customFormat="false" ht="15" hidden="false" customHeight="false" outlineLevel="0" collapsed="false">
      <c r="A99" s="0" t="s">
        <v>165</v>
      </c>
      <c r="B99" s="0" t="s">
        <v>193</v>
      </c>
      <c r="C99" s="0" t="n">
        <v>6216</v>
      </c>
      <c r="D99" s="0" t="s">
        <v>194</v>
      </c>
    </row>
    <row r="100" customFormat="false" ht="15" hidden="false" customHeight="false" outlineLevel="0" collapsed="false">
      <c r="A100" s="0" t="s">
        <v>165</v>
      </c>
      <c r="B100" s="0" t="s">
        <v>59</v>
      </c>
      <c r="C100" s="0" t="n">
        <v>0</v>
      </c>
      <c r="D100" s="0" t="s">
        <v>195</v>
      </c>
    </row>
    <row r="101" customFormat="false" ht="15" hidden="false" customHeight="false" outlineLevel="0" collapsed="false">
      <c r="A101" s="0" t="s">
        <v>165</v>
      </c>
      <c r="B101" s="0" t="s">
        <v>196</v>
      </c>
      <c r="C101" s="0" t="n">
        <v>0</v>
      </c>
      <c r="D101" s="0" t="s">
        <v>197</v>
      </c>
    </row>
    <row r="102" customFormat="false" ht="15" hidden="false" customHeight="false" outlineLevel="0" collapsed="false">
      <c r="A102" s="0" t="s">
        <v>165</v>
      </c>
      <c r="B102" s="0" t="s">
        <v>63</v>
      </c>
      <c r="C102" s="0" t="n">
        <v>66</v>
      </c>
      <c r="D102" s="0" t="s">
        <v>198</v>
      </c>
    </row>
    <row r="103" customFormat="false" ht="15" hidden="false" customHeight="false" outlineLevel="0" collapsed="false">
      <c r="A103" s="0" t="s">
        <v>165</v>
      </c>
      <c r="B103" s="0" t="s">
        <v>199</v>
      </c>
      <c r="C103" s="0" t="n">
        <v>62</v>
      </c>
      <c r="D103" s="0" t="s">
        <v>200</v>
      </c>
    </row>
    <row r="104" customFormat="false" ht="15" hidden="false" customHeight="false" outlineLevel="0" collapsed="false">
      <c r="A104" s="0" t="s">
        <v>165</v>
      </c>
      <c r="B104" s="0" t="s">
        <v>51</v>
      </c>
      <c r="C104" s="0" t="s">
        <v>64</v>
      </c>
      <c r="D104" s="0" t="s">
        <v>201</v>
      </c>
    </row>
    <row r="105" customFormat="false" ht="15" hidden="false" customHeight="false" outlineLevel="0" collapsed="false">
      <c r="A105" s="0" t="s">
        <v>165</v>
      </c>
      <c r="B105" s="0" t="s">
        <v>202</v>
      </c>
      <c r="C105" s="0" t="n">
        <v>1445.21</v>
      </c>
      <c r="D105" s="0" t="s">
        <v>203</v>
      </c>
    </row>
    <row r="106" customFormat="false" ht="15" hidden="false" customHeight="false" outlineLevel="0" collapsed="false">
      <c r="A106" s="0" t="s">
        <v>165</v>
      </c>
      <c r="B106" s="0" t="s">
        <v>204</v>
      </c>
      <c r="C106" s="0" t="n">
        <v>62.09</v>
      </c>
      <c r="D106" s="0" t="s">
        <v>205</v>
      </c>
    </row>
    <row r="107" customFormat="false" ht="15" hidden="false" customHeight="false" outlineLevel="0" collapsed="false">
      <c r="A107" s="0" t="s">
        <v>165</v>
      </c>
      <c r="B107" s="0" t="s">
        <v>72</v>
      </c>
      <c r="C107" s="0" t="n">
        <v>0.15</v>
      </c>
      <c r="D107" s="0" t="s">
        <v>206</v>
      </c>
    </row>
    <row r="108" customFormat="false" ht="15" hidden="false" customHeight="false" outlineLevel="0" collapsed="false">
      <c r="A108" s="0" t="s">
        <v>165</v>
      </c>
      <c r="B108" s="0" t="s">
        <v>74</v>
      </c>
      <c r="C108" s="0" t="n">
        <v>0.15</v>
      </c>
      <c r="D108" s="0" t="s">
        <v>207</v>
      </c>
    </row>
    <row r="109" customFormat="false" ht="15" hidden="false" customHeight="false" outlineLevel="0" collapsed="false">
      <c r="A109" s="0" t="s">
        <v>165</v>
      </c>
      <c r="B109" s="0" t="s">
        <v>208</v>
      </c>
      <c r="C109" s="0" t="n">
        <v>0.14</v>
      </c>
      <c r="D109" s="0" t="s">
        <v>209</v>
      </c>
    </row>
    <row r="110" customFormat="false" ht="15" hidden="false" customHeight="false" outlineLevel="0" collapsed="false">
      <c r="A110" s="0" t="s">
        <v>165</v>
      </c>
      <c r="B110" s="0" t="s">
        <v>76</v>
      </c>
      <c r="C110" s="0" t="n">
        <v>0.21</v>
      </c>
      <c r="D110" s="0" t="s">
        <v>210</v>
      </c>
    </row>
    <row r="111" customFormat="false" ht="15" hidden="false" customHeight="false" outlineLevel="0" collapsed="false">
      <c r="A111" s="0" t="s">
        <v>211</v>
      </c>
      <c r="B111" s="0" t="s">
        <v>212</v>
      </c>
      <c r="C111" s="0" t="s">
        <v>213</v>
      </c>
      <c r="D111" s="0" t="s">
        <v>214</v>
      </c>
    </row>
    <row r="112" customFormat="false" ht="15" hidden="false" customHeight="false" outlineLevel="0" collapsed="false">
      <c r="A112" s="0" t="s">
        <v>211</v>
      </c>
      <c r="B112" s="0" t="s">
        <v>215</v>
      </c>
      <c r="C112" s="0" t="s">
        <v>216</v>
      </c>
      <c r="D112" s="0" t="s">
        <v>217</v>
      </c>
    </row>
    <row r="113" customFormat="false" ht="15" hidden="false" customHeight="false" outlineLevel="0" collapsed="false">
      <c r="A113" s="0" t="s">
        <v>211</v>
      </c>
      <c r="B113" s="0" t="s">
        <v>218</v>
      </c>
      <c r="C113" s="0" t="s">
        <v>219</v>
      </c>
      <c r="D113" s="0" t="s">
        <v>220</v>
      </c>
    </row>
    <row r="114" customFormat="false" ht="15" hidden="false" customHeight="false" outlineLevel="0" collapsed="false">
      <c r="A114" s="0" t="s">
        <v>211</v>
      </c>
      <c r="B114" s="0" t="s">
        <v>221</v>
      </c>
      <c r="C114" s="0" t="s">
        <v>222</v>
      </c>
      <c r="D114" s="0" t="s">
        <v>220</v>
      </c>
    </row>
    <row r="115" customFormat="false" ht="15" hidden="false" customHeight="false" outlineLevel="0" collapsed="false">
      <c r="A115" s="0" t="s">
        <v>211</v>
      </c>
      <c r="B115" s="0" t="s">
        <v>223</v>
      </c>
      <c r="C115" s="0" t="s">
        <v>224</v>
      </c>
      <c r="D115" s="0" t="s">
        <v>220</v>
      </c>
    </row>
    <row r="116" customFormat="false" ht="15" hidden="false" customHeight="false" outlineLevel="0" collapsed="false">
      <c r="A116" s="0" t="s">
        <v>211</v>
      </c>
      <c r="B116" s="0" t="s">
        <v>225</v>
      </c>
      <c r="C116" s="0" t="s">
        <v>226</v>
      </c>
      <c r="D116" s="0" t="s">
        <v>220</v>
      </c>
    </row>
    <row r="117" customFormat="false" ht="15" hidden="false" customHeight="false" outlineLevel="0" collapsed="false">
      <c r="A117" s="0" t="s">
        <v>211</v>
      </c>
      <c r="B117" s="0" t="s">
        <v>227</v>
      </c>
      <c r="C117" s="0" t="s">
        <v>228</v>
      </c>
      <c r="D117" s="0" t="s">
        <v>220</v>
      </c>
    </row>
    <row r="118" customFormat="false" ht="15" hidden="false" customHeight="false" outlineLevel="0" collapsed="false">
      <c r="A118" s="0" t="s">
        <v>211</v>
      </c>
      <c r="B118" s="0" t="s">
        <v>229</v>
      </c>
      <c r="C118" s="0" t="s">
        <v>230</v>
      </c>
      <c r="D118" s="0" t="s">
        <v>220</v>
      </c>
    </row>
    <row r="120" customFormat="false" ht="15" hidden="false" customHeight="false" outlineLevel="0" collapsed="false">
      <c r="A120" s="0" t="s">
        <v>231</v>
      </c>
    </row>
    <row r="121" customFormat="false" ht="15" hidden="false" customHeight="false" outlineLevel="0" collapsed="false">
      <c r="A121" s="0" t="s">
        <v>232</v>
      </c>
    </row>
    <row r="122" customFormat="false" ht="15" hidden="false" customHeight="false" outlineLevel="0" collapsed="false">
      <c r="A122" s="0" t="s">
        <v>233</v>
      </c>
    </row>
    <row r="123" customFormat="false" ht="15" hidden="false" customHeight="false" outlineLevel="0" collapsed="false">
      <c r="A123" s="0" t="s">
        <v>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4"/>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L25" activeCellId="0" sqref="L25"/>
    </sheetView>
  </sheetViews>
  <sheetFormatPr defaultColWidth="10.84765625" defaultRowHeight="12" customHeight="false" zeroHeight="false" outlineLevelRow="0" outlineLevelCol="0"/>
  <cols>
    <col collapsed="false" customWidth="true" hidden="false" outlineLevel="0" max="1" min="1" style="8" width="73.66"/>
    <col collapsed="false" customWidth="true" hidden="false" outlineLevel="0" max="2" min="2" style="8" width="26.5"/>
    <col collapsed="false" customWidth="true" hidden="false" outlineLevel="0" max="3" min="3" style="8" width="23.17"/>
    <col collapsed="false" customWidth="true" hidden="false" outlineLevel="0" max="4" min="4" style="8" width="19.66"/>
    <col collapsed="false" customWidth="false" hidden="false" outlineLevel="0" max="7" min="5" style="8" width="10.84"/>
    <col collapsed="false" customWidth="true" hidden="false" outlineLevel="0" max="8" min="8" style="8" width="11"/>
    <col collapsed="false" customWidth="true" hidden="false" outlineLevel="0" max="9" min="9" style="8" width="21.85"/>
    <col collapsed="false" customWidth="true" hidden="false" outlineLevel="0" max="10" min="10" style="8" width="15"/>
    <col collapsed="false" customWidth="true" hidden="false" outlineLevel="0" max="11" min="11" style="8" width="17.5"/>
    <col collapsed="false" customWidth="false" hidden="false" outlineLevel="0" max="16384" min="12" style="8" width="10.84"/>
  </cols>
  <sheetData>
    <row r="1" s="9" customFormat="true" ht="15.75" hidden="false" customHeight="true" outlineLevel="0" collapsed="false">
      <c r="B1" s="10"/>
      <c r="C1" s="9" t="s">
        <v>235</v>
      </c>
      <c r="D1" s="11"/>
      <c r="E1" s="9" t="s">
        <v>236</v>
      </c>
    </row>
    <row r="2" s="12" customFormat="true" ht="15.75" hidden="false" customHeight="true" outlineLevel="0" collapsed="false"/>
    <row r="3" s="12" customFormat="true" ht="15.75" hidden="false" customHeight="true" outlineLevel="0" collapsed="false">
      <c r="A3" s="13" t="s">
        <v>237</v>
      </c>
      <c r="B3" s="14" t="n">
        <v>44814</v>
      </c>
      <c r="C3" s="15" t="s">
        <v>238</v>
      </c>
      <c r="D3" s="16"/>
      <c r="E3" s="16"/>
      <c r="F3" s="16"/>
      <c r="G3" s="16"/>
      <c r="H3" s="16"/>
      <c r="I3" s="16"/>
      <c r="J3" s="17"/>
    </row>
    <row r="4" s="12" customFormat="true" ht="16.5" hidden="false" customHeight="true" outlineLevel="0" collapsed="false">
      <c r="A4" s="13" t="s">
        <v>239</v>
      </c>
      <c r="B4" s="18" t="s">
        <v>31</v>
      </c>
      <c r="C4" s="19" t="s">
        <v>240</v>
      </c>
      <c r="D4" s="20"/>
      <c r="E4" s="20"/>
      <c r="F4" s="20"/>
      <c r="G4" s="20"/>
      <c r="H4" s="20"/>
      <c r="I4" s="20"/>
      <c r="J4" s="21"/>
    </row>
    <row r="5" s="12" customFormat="true" ht="16.5" hidden="false" customHeight="true" outlineLevel="0" collapsed="false">
      <c r="A5" s="22" t="s">
        <v>241</v>
      </c>
      <c r="B5" s="22"/>
      <c r="C5" s="22"/>
      <c r="D5" s="22"/>
      <c r="E5" s="22"/>
      <c r="F5" s="22"/>
      <c r="G5" s="22"/>
      <c r="H5" s="22"/>
      <c r="I5" s="22"/>
      <c r="J5" s="22"/>
    </row>
    <row r="6" s="12" customFormat="true" ht="16.5" hidden="false" customHeight="true" outlineLevel="0" collapsed="false">
      <c r="A6" s="13" t="s">
        <v>242</v>
      </c>
      <c r="B6" s="13"/>
      <c r="C6" s="13"/>
    </row>
    <row r="7" s="12" customFormat="true" ht="15.75" hidden="false" customHeight="true" outlineLevel="0" collapsed="false">
      <c r="A7" s="12" t="s">
        <v>243</v>
      </c>
      <c r="B7" s="23" t="s">
        <v>34</v>
      </c>
      <c r="C7" s="13"/>
      <c r="F7" s="24" t="s">
        <v>244</v>
      </c>
      <c r="G7" s="24"/>
      <c r="H7" s="24"/>
      <c r="I7" s="24"/>
    </row>
    <row r="8" s="12" customFormat="true" ht="15.75" hidden="false" customHeight="true" outlineLevel="0" collapsed="false">
      <c r="A8" s="12" t="s">
        <v>245</v>
      </c>
      <c r="B8" s="23" t="s">
        <v>37</v>
      </c>
      <c r="F8" s="24"/>
      <c r="G8" s="24"/>
      <c r="H8" s="24"/>
      <c r="I8" s="24"/>
    </row>
    <row r="9" s="12" customFormat="true" ht="15.75" hidden="false" customHeight="true" outlineLevel="0" collapsed="false">
      <c r="A9" s="12" t="s">
        <v>246</v>
      </c>
      <c r="B9" s="23" t="s">
        <v>37</v>
      </c>
      <c r="F9" s="24"/>
      <c r="G9" s="24"/>
      <c r="H9" s="24"/>
      <c r="I9" s="24"/>
    </row>
    <row r="10" s="12" customFormat="true" ht="15.75" hidden="false" customHeight="true" outlineLevel="0" collapsed="false">
      <c r="B10" s="25" t="s">
        <v>247</v>
      </c>
      <c r="C10" s="25" t="s">
        <v>248</v>
      </c>
      <c r="D10" s="26" t="s">
        <v>249</v>
      </c>
      <c r="F10" s="24"/>
      <c r="G10" s="24"/>
      <c r="H10" s="24"/>
      <c r="I10" s="24"/>
    </row>
    <row r="11" s="12" customFormat="true" ht="16.5" hidden="false" customHeight="true" outlineLevel="0" collapsed="false">
      <c r="A11" s="27" t="s">
        <v>250</v>
      </c>
      <c r="B11" s="28" t="n">
        <v>41871</v>
      </c>
      <c r="C11" s="29" t="n">
        <v>34296</v>
      </c>
      <c r="D11" s="30" t="n">
        <v>0.75</v>
      </c>
      <c r="F11" s="24"/>
      <c r="G11" s="24"/>
      <c r="H11" s="24"/>
      <c r="I11" s="24"/>
    </row>
    <row r="12" s="12" customFormat="true" ht="15.75" hidden="false" customHeight="true" outlineLevel="0" collapsed="false">
      <c r="A12" s="27" t="s">
        <v>251</v>
      </c>
      <c r="B12" s="28" t="n">
        <v>4972</v>
      </c>
      <c r="C12" s="29" t="n">
        <v>2710</v>
      </c>
      <c r="D12" s="30"/>
    </row>
    <row r="13" s="12" customFormat="true" ht="15.75" hidden="false" customHeight="true" outlineLevel="0" collapsed="false">
      <c r="A13" s="27" t="s">
        <v>252</v>
      </c>
      <c r="B13" s="28" t="n">
        <v>1018</v>
      </c>
      <c r="C13" s="29" t="n">
        <v>1018</v>
      </c>
      <c r="D13" s="30"/>
    </row>
    <row r="14" s="12" customFormat="true" ht="15.75" hidden="false" customHeight="true" outlineLevel="0" collapsed="false">
      <c r="A14" s="27" t="s">
        <v>253</v>
      </c>
      <c r="B14" s="28" t="n">
        <v>26576</v>
      </c>
      <c r="C14" s="29" t="n">
        <v>24754</v>
      </c>
      <c r="D14" s="30"/>
    </row>
    <row r="15" s="12" customFormat="true" ht="15.75" hidden="false" customHeight="true" outlineLevel="0" collapsed="false">
      <c r="A15" s="27" t="s">
        <v>254</v>
      </c>
      <c r="B15" s="28" t="n">
        <v>20244</v>
      </c>
      <c r="C15" s="29" t="n">
        <v>22365</v>
      </c>
      <c r="D15" s="30"/>
    </row>
    <row r="16" s="12" customFormat="true" ht="15.75" hidden="false" customHeight="true" outlineLevel="0" collapsed="false">
      <c r="A16" s="27" t="s">
        <v>255</v>
      </c>
      <c r="B16" s="31" t="s">
        <v>64</v>
      </c>
      <c r="C16" s="32" t="s">
        <v>256</v>
      </c>
      <c r="D16" s="33"/>
    </row>
    <row r="17" s="12" customFormat="true" ht="15.75" hidden="false" customHeight="true" outlineLevel="0" collapsed="false">
      <c r="A17" s="27" t="s">
        <v>257</v>
      </c>
      <c r="B17" s="31" t="s">
        <v>64</v>
      </c>
      <c r="C17" s="33" t="s">
        <v>258</v>
      </c>
      <c r="D17" s="33"/>
    </row>
    <row r="18" s="12" customFormat="true" ht="15.75" hidden="false" customHeight="true" outlineLevel="0" collapsed="false">
      <c r="A18" s="27" t="s">
        <v>259</v>
      </c>
      <c r="B18" s="28" t="n">
        <v>6216</v>
      </c>
      <c r="C18" s="28" t="n">
        <v>5773</v>
      </c>
      <c r="D18" s="33"/>
    </row>
    <row r="19" s="12" customFormat="true" ht="15.75" hidden="false" customHeight="true" outlineLevel="0" collapsed="false">
      <c r="A19" s="27" t="s">
        <v>260</v>
      </c>
      <c r="B19" s="34" t="n">
        <v>0</v>
      </c>
      <c r="C19" s="28" t="n">
        <v>955</v>
      </c>
      <c r="D19" s="33"/>
    </row>
    <row r="20" s="12" customFormat="true" ht="16.5" hidden="false" customHeight="true" outlineLevel="0" collapsed="false">
      <c r="A20" s="27" t="s">
        <v>261</v>
      </c>
      <c r="B20" s="34" t="n">
        <v>62</v>
      </c>
      <c r="C20" s="28" t="n">
        <v>66</v>
      </c>
      <c r="D20" s="33"/>
    </row>
    <row r="21" s="12" customFormat="true" ht="15.75" hidden="false" customHeight="true" outlineLevel="0" collapsed="false">
      <c r="A21" s="27" t="s">
        <v>262</v>
      </c>
      <c r="B21" s="35" t="n">
        <v>1445.21</v>
      </c>
      <c r="C21" s="33"/>
      <c r="E21" s="36" t="s">
        <v>263</v>
      </c>
      <c r="F21" s="36"/>
      <c r="G21" s="36"/>
      <c r="H21" s="36"/>
      <c r="I21" s="36"/>
      <c r="J21" s="36"/>
      <c r="K21" s="36"/>
      <c r="L21" s="36"/>
      <c r="M21" s="36"/>
      <c r="N21" s="36"/>
    </row>
    <row r="22" s="12" customFormat="true" ht="15.75" hidden="false" customHeight="true" outlineLevel="0" collapsed="false">
      <c r="A22" s="27" t="s">
        <v>264</v>
      </c>
      <c r="B22" s="28" t="n">
        <v>62.0900001525879</v>
      </c>
      <c r="C22" s="33"/>
      <c r="E22" s="37" t="s">
        <v>265</v>
      </c>
      <c r="N22" s="38"/>
    </row>
    <row r="23" s="12" customFormat="true" ht="15.75" hidden="false" customHeight="true" outlineLevel="0" collapsed="false">
      <c r="A23" s="12" t="s">
        <v>266</v>
      </c>
      <c r="B23" s="39" t="n">
        <v>0.17</v>
      </c>
      <c r="C23" s="33"/>
      <c r="E23" s="40"/>
      <c r="J23" s="41" t="s">
        <v>245</v>
      </c>
      <c r="K23" s="41" t="s">
        <v>246</v>
      </c>
      <c r="L23" s="25" t="s">
        <v>267</v>
      </c>
      <c r="M23" s="25"/>
      <c r="N23" s="25"/>
    </row>
    <row r="24" s="12" customFormat="true" ht="15.75" hidden="false" customHeight="true" outlineLevel="0" collapsed="false">
      <c r="A24" s="12" t="s">
        <v>268</v>
      </c>
      <c r="B24" s="39" t="n">
        <v>0.21</v>
      </c>
      <c r="C24" s="33"/>
      <c r="E24" s="40"/>
      <c r="I24" s="42" t="s">
        <v>32</v>
      </c>
      <c r="J24" s="43" t="s">
        <v>269</v>
      </c>
      <c r="K24" s="25" t="s">
        <v>269</v>
      </c>
      <c r="L24" s="25" t="s">
        <v>270</v>
      </c>
      <c r="M24" s="25" t="s">
        <v>271</v>
      </c>
      <c r="N24" s="44" t="s">
        <v>272</v>
      </c>
    </row>
    <row r="25" s="12" customFormat="true" ht="15.75" hidden="false" customHeight="true" outlineLevel="0" collapsed="false">
      <c r="A25" s="13" t="s">
        <v>273</v>
      </c>
      <c r="B25" s="45"/>
      <c r="C25" s="33"/>
      <c r="E25" s="46" t="s">
        <v>274</v>
      </c>
      <c r="I25" s="47" t="n">
        <f aca="false">IF(C11&gt;0,(B11/C11)^(1/D11)-1, "NA")</f>
        <v>0.304847677663613</v>
      </c>
      <c r="J25" s="48" t="n">
        <f aca="false">VLOOKUP(B8,'Industry Averages(US)'!A2:S95,3)</f>
        <v>0.0671086956521739</v>
      </c>
      <c r="K25" s="49" t="n">
        <f aca="false">VLOOKUP(B9,'Industry Averages (Global)'!A2:N95,3)</f>
        <v>0.0326914126394052</v>
      </c>
      <c r="L25" s="50" t="n">
        <f aca="false">VLOOKUP($B$9,'Input Stat Distributioons'!$A$3:$T$96,3,FALSE())</f>
        <v>0.042</v>
      </c>
      <c r="M25" s="50" t="n">
        <f aca="false">VLOOKUP($B$9,'Input Stat Distributioons'!$A$3:$T$96,4,FALSE())</f>
        <v>0.125</v>
      </c>
      <c r="N25" s="51" t="n">
        <f aca="false">VLOOKUP($B$9,'Input Stat Distributioons'!$A$3:$T$96,5,FALSE())</f>
        <v>0.265</v>
      </c>
    </row>
    <row r="26" s="12" customFormat="true" ht="15.75" hidden="false" customHeight="true" outlineLevel="0" collapsed="false">
      <c r="A26" s="52" t="s">
        <v>275</v>
      </c>
      <c r="B26" s="53" t="n">
        <v>0.3</v>
      </c>
      <c r="C26" s="33" t="s">
        <v>276</v>
      </c>
      <c r="E26" s="46" t="s">
        <v>277</v>
      </c>
      <c r="I26" s="47" t="n">
        <f aca="false">'Valuation output'!B4</f>
        <v>0.118745671228296</v>
      </c>
      <c r="J26" s="48" t="n">
        <f aca="false">VLOOKUP(B8,'Industry Averages(US)'!A2:AA95,4)</f>
        <v>0.22484874696685</v>
      </c>
      <c r="K26" s="49" t="n">
        <f aca="false">VLOOKUP(B9,'Industry Averages (Global)'!A2:N95,4)</f>
        <v>0.126116126089593</v>
      </c>
      <c r="L26" s="49" t="n">
        <f aca="false">VLOOKUP($B$9,'Input Stat Distributioons'!$A$3:$T$96,6,FALSE())</f>
        <v>-0.0242059145673604</v>
      </c>
      <c r="M26" s="49" t="n">
        <f aca="false">VLOOKUP($B$9,'Input Stat Distributioons'!$A$3:$T$96,7,FALSE())</f>
        <v>0.0344155844155844</v>
      </c>
      <c r="N26" s="54" t="n">
        <f aca="false">VLOOKUP($B$9,'Input Stat Distributioons'!$A$3:$T$96,8,FALSE())</f>
        <v>0.0878632478632479</v>
      </c>
    </row>
    <row r="27" s="12" customFormat="true" ht="15.75" hidden="false" customHeight="true" outlineLevel="0" collapsed="false">
      <c r="A27" s="52" t="s">
        <v>278</v>
      </c>
      <c r="B27" s="53" t="n">
        <v>0.127</v>
      </c>
      <c r="C27" s="33" t="s">
        <v>279</v>
      </c>
      <c r="E27" s="46" t="s">
        <v>280</v>
      </c>
      <c r="I27" s="55" t="n">
        <f aca="false">B11/'Valuation output'!B39</f>
        <v>1.03120382228352</v>
      </c>
      <c r="J27" s="56" t="n">
        <f aca="false">VLOOKUP(B8,'Industry Averages(US)'!A2:S95,14)</f>
        <v>3.61978874976867</v>
      </c>
      <c r="K27" s="57" t="n">
        <f aca="false">VLOOKUP(B9,'Industry Averages (Global)'!A2:N95,14)</f>
        <v>2.48353569745786</v>
      </c>
      <c r="L27" s="57" t="n">
        <f aca="false">VLOOKUP($B$9,'Input Stat Distributioons'!$A$3:$T$96,9,FALSE())</f>
        <v>0.756947507719453</v>
      </c>
      <c r="M27" s="57" t="n">
        <f aca="false">VLOOKUP($B$9,'Input Stat Distributioons'!$A$3:$T$96,10,FALSE())</f>
        <v>1.64491978609626</v>
      </c>
      <c r="N27" s="58" t="n">
        <f aca="false">VLOOKUP($B$9,'Input Stat Distributioons'!$A$3:$T$96,11,FALSE())</f>
        <v>2.94969440526563</v>
      </c>
    </row>
    <row r="28" s="12" customFormat="true" ht="15.75" hidden="false" customHeight="true" outlineLevel="0" collapsed="false">
      <c r="A28" s="27" t="s">
        <v>281</v>
      </c>
      <c r="B28" s="39" t="n">
        <v>0.05</v>
      </c>
      <c r="C28" s="33" t="s">
        <v>282</v>
      </c>
      <c r="E28" s="46" t="s">
        <v>283</v>
      </c>
      <c r="I28" s="55" t="str">
        <f aca="false">IF(('Input sheet'!B11-'Input sheet'!C11)/(('Input sheet'!B14+'Input sheet'!B15-'Input sheet'!B18)-('Input sheet'!C14+'Input sheet'!C15-'Input sheet'!C18))&gt;0,('Input sheet'!B11-'Input sheet'!C11)/(('Input sheet'!B14+'Input sheet'!B15-'Input sheet'!B18)-('Input sheet'!C14+'Input sheet'!C15-'Input sheet'!C18)),"NA")</f>
        <v>NA</v>
      </c>
      <c r="J28" s="59"/>
      <c r="K28" s="60"/>
      <c r="L28" s="61"/>
      <c r="M28" s="61"/>
      <c r="N28" s="62"/>
    </row>
    <row r="29" s="12" customFormat="true" ht="15.75" hidden="false" customHeight="true" outlineLevel="0" collapsed="false">
      <c r="A29" s="27" t="s">
        <v>284</v>
      </c>
      <c r="B29" s="39" t="n">
        <v>0.107</v>
      </c>
      <c r="C29" s="33" t="s">
        <v>285</v>
      </c>
      <c r="E29" s="46" t="s">
        <v>286</v>
      </c>
      <c r="I29" s="47" t="n">
        <f aca="false">'Valuation output'!B7/'Valuation output'!B39</f>
        <v>0.1016343217417</v>
      </c>
      <c r="J29" s="48" t="n">
        <f aca="false">VLOOKUP(B8,'Industry Averages(US)'!A2:S95,5)</f>
        <v>0.44760352743839</v>
      </c>
      <c r="K29" s="49" t="n">
        <f aca="false">VLOOKUP(B9,'Industry Averages (Global)'!A2:N95,5)</f>
        <v>0.199101850257736</v>
      </c>
      <c r="N29" s="63"/>
    </row>
    <row r="30" s="12" customFormat="true" ht="15.75" hidden="false" customHeight="true" outlineLevel="0" collapsed="false">
      <c r="A30" s="27" t="s">
        <v>287</v>
      </c>
      <c r="B30" s="64" t="n">
        <v>3</v>
      </c>
      <c r="C30" s="33" t="s">
        <v>288</v>
      </c>
      <c r="E30" s="46" t="s">
        <v>289</v>
      </c>
      <c r="I30" s="65"/>
      <c r="J30" s="48" t="n">
        <f aca="false">VLOOKUP(B8,'Industry Averages(US)'!A2:S95,10)</f>
        <v>0.545767951717885</v>
      </c>
      <c r="K30" s="49" t="n">
        <f aca="false">VLOOKUP(B8,'Industry Averages (Global)'!A2:Z95,10)</f>
        <v>0.435586370554617</v>
      </c>
      <c r="N30" s="63"/>
    </row>
    <row r="31" s="12" customFormat="true" ht="16.5" hidden="false" customHeight="true" outlineLevel="0" collapsed="false">
      <c r="A31" s="27" t="s">
        <v>290</v>
      </c>
      <c r="B31" s="64" t="n">
        <v>6</v>
      </c>
      <c r="C31" s="33" t="s">
        <v>291</v>
      </c>
      <c r="E31" s="66" t="s">
        <v>292</v>
      </c>
      <c r="F31" s="67"/>
      <c r="G31" s="67"/>
      <c r="H31" s="67"/>
      <c r="I31" s="47" t="n">
        <f aca="false">B35</f>
        <v>0.110612273738674</v>
      </c>
      <c r="J31" s="68" t="n">
        <f aca="false">VLOOKUP(B8,'Industry Averages(US)'!A2:S95,13)</f>
        <v>0.0970707313266584</v>
      </c>
      <c r="K31" s="69" t="n">
        <f aca="false">VLOOKUP(B8,'Industry Averages (Global)'!A2:Z95,13)</f>
        <v>0.11850111266469</v>
      </c>
      <c r="L31" s="69" t="n">
        <f aca="false">VLOOKUP($B$9,'Input Stat Distributioons'!$A$3:$T$96,12,FALSE())</f>
        <v>0.107952384535345</v>
      </c>
      <c r="M31" s="69" t="n">
        <f aca="false">VLOOKUP($B$9,'Input Stat Distributioons'!$A$3:$T$96,13,FALSE())</f>
        <v>0.111779819151911</v>
      </c>
      <c r="N31" s="70" t="n">
        <f aca="false">VLOOKUP($B$9,'Input Stat Distributioons'!$A$3:$T$96,14,FALSE())</f>
        <v>0.114084079478505</v>
      </c>
    </row>
    <row r="32" s="12" customFormat="true" ht="16.5" hidden="false" customHeight="true" outlineLevel="0" collapsed="false">
      <c r="A32" s="27" t="s">
        <v>293</v>
      </c>
      <c r="B32" s="64" t="n">
        <v>6</v>
      </c>
      <c r="C32" s="33" t="s">
        <v>294</v>
      </c>
    </row>
    <row r="33" s="12" customFormat="true" ht="15.75" hidden="false" customHeight="true" outlineLevel="0" collapsed="false">
      <c r="A33" s="13" t="s">
        <v>295</v>
      </c>
      <c r="B33" s="71"/>
      <c r="C33" s="33"/>
      <c r="E33" s="72" t="s">
        <v>296</v>
      </c>
      <c r="F33" s="72"/>
      <c r="G33" s="72"/>
      <c r="H33" s="72"/>
      <c r="I33" s="72"/>
      <c r="J33" s="72"/>
    </row>
    <row r="34" s="12" customFormat="true" ht="15.75" hidden="false" customHeight="true" outlineLevel="0" collapsed="false">
      <c r="A34" s="27" t="s">
        <v>297</v>
      </c>
      <c r="B34" s="39" t="n">
        <v>0.0495</v>
      </c>
      <c r="C34" s="33"/>
      <c r="E34" s="46" t="s">
        <v>298</v>
      </c>
      <c r="J34" s="73" t="n">
        <f aca="false">'Valuation output'!M3</f>
        <v>81320.7383750177</v>
      </c>
    </row>
    <row r="35" s="12" customFormat="true" ht="24.75" hidden="false" customHeight="true" outlineLevel="0" collapsed="false">
      <c r="A35" s="74" t="s">
        <v>299</v>
      </c>
      <c r="B35" s="75" t="n">
        <f aca="false">'Cost of capital worksheet'!B13</f>
        <v>0.110612273738674</v>
      </c>
      <c r="C35" s="76" t="s">
        <v>300</v>
      </c>
      <c r="D35" s="76"/>
      <c r="E35" s="46" t="s">
        <v>301</v>
      </c>
      <c r="J35" s="73" t="n">
        <f aca="false">'Valuation output'!M5</f>
        <v>8701.3190061269</v>
      </c>
    </row>
    <row r="36" s="12" customFormat="true" ht="15.75" hidden="false" customHeight="true" outlineLevel="0" collapsed="false">
      <c r="A36" s="13" t="s">
        <v>302</v>
      </c>
      <c r="B36" s="77"/>
      <c r="C36" s="77"/>
      <c r="D36" s="33"/>
      <c r="E36" s="46" t="s">
        <v>303</v>
      </c>
      <c r="J36" s="78" t="n">
        <f aca="false">'Valuation output'!L40</f>
        <v>0.149590050075003</v>
      </c>
    </row>
    <row r="37" s="12" customFormat="true" ht="16.5" hidden="false" customHeight="true" outlineLevel="0" collapsed="false">
      <c r="A37" s="12" t="s">
        <v>304</v>
      </c>
      <c r="B37" s="31" t="s">
        <v>64</v>
      </c>
      <c r="C37" s="79"/>
      <c r="D37" s="33"/>
      <c r="E37" s="80" t="s">
        <v>305</v>
      </c>
      <c r="F37" s="67"/>
      <c r="G37" s="67"/>
      <c r="H37" s="67"/>
      <c r="I37" s="67"/>
      <c r="J37" s="81"/>
    </row>
    <row r="38" s="12" customFormat="true" ht="15.75" hidden="false" customHeight="true" outlineLevel="0" collapsed="false">
      <c r="A38" s="12" t="s">
        <v>306</v>
      </c>
      <c r="B38" s="64" t="n">
        <v>7.72</v>
      </c>
      <c r="C38" s="61"/>
      <c r="D38" s="33"/>
    </row>
    <row r="39" s="84" customFormat="true" ht="15.75" hidden="false" customHeight="true" outlineLevel="0" collapsed="false">
      <c r="A39" s="12" t="s">
        <v>307</v>
      </c>
      <c r="B39" s="82" t="n">
        <v>1.29</v>
      </c>
      <c r="C39" s="83"/>
      <c r="D39" s="33"/>
      <c r="E39" s="12"/>
      <c r="F39" s="12"/>
      <c r="G39" s="12"/>
      <c r="H39" s="12"/>
      <c r="I39" s="12"/>
      <c r="J39" s="12"/>
      <c r="K39" s="12"/>
      <c r="L39" s="12"/>
      <c r="M39" s="12"/>
      <c r="N39" s="12"/>
    </row>
    <row r="40" s="12" customFormat="true" ht="15.75" hidden="false" customHeight="true" outlineLevel="0" collapsed="false">
      <c r="A40" s="12" t="s">
        <v>308</v>
      </c>
      <c r="B40" s="64" t="n">
        <v>7</v>
      </c>
      <c r="C40" s="61"/>
      <c r="D40" s="33"/>
    </row>
    <row r="41" s="12" customFormat="true" ht="15.75" hidden="false" customHeight="true" outlineLevel="0" collapsed="false">
      <c r="A41" s="12" t="s">
        <v>309</v>
      </c>
      <c r="B41" s="39" t="n">
        <v>0.45</v>
      </c>
      <c r="C41" s="33"/>
      <c r="E41" s="84"/>
      <c r="F41" s="84"/>
      <c r="G41" s="84"/>
    </row>
    <row r="42" s="84" customFormat="true" ht="15.75" hidden="false" customHeight="true" outlineLevel="0" collapsed="false">
      <c r="A42" s="12"/>
      <c r="B42" s="85"/>
      <c r="C42" s="77"/>
      <c r="D42" s="33"/>
      <c r="E42" s="12"/>
      <c r="F42" s="12"/>
      <c r="G42" s="12"/>
      <c r="H42" s="12"/>
      <c r="I42" s="12"/>
      <c r="J42" s="12"/>
      <c r="K42" s="12"/>
      <c r="L42" s="12"/>
      <c r="M42" s="12"/>
      <c r="N42" s="12"/>
    </row>
    <row r="43" s="12" customFormat="true" ht="15.75" hidden="false" customHeight="true" outlineLevel="0" collapsed="false">
      <c r="A43" s="86" t="s">
        <v>310</v>
      </c>
      <c r="B43" s="86"/>
      <c r="C43" s="87"/>
      <c r="D43" s="33"/>
      <c r="N43" s="84"/>
    </row>
    <row r="44" s="12" customFormat="true" ht="15.75" hidden="false" customHeight="true" outlineLevel="0" collapsed="false">
      <c r="A44" s="84" t="s">
        <v>311</v>
      </c>
      <c r="B44" s="84"/>
      <c r="C44" s="88"/>
      <c r="D44" s="33"/>
      <c r="E44" s="84"/>
      <c r="F44" s="84"/>
      <c r="G44" s="84"/>
      <c r="H44" s="84"/>
      <c r="I44" s="84"/>
      <c r="J44" s="84"/>
      <c r="K44" s="84"/>
      <c r="L44" s="84"/>
      <c r="M44" s="84"/>
    </row>
    <row r="45" s="12" customFormat="true" ht="15.75" hidden="false" customHeight="true" outlineLevel="0" collapsed="false">
      <c r="A45" s="12" t="s">
        <v>312</v>
      </c>
      <c r="B45" s="28" t="s">
        <v>64</v>
      </c>
      <c r="C45" s="33" t="s">
        <v>313</v>
      </c>
    </row>
    <row r="46" s="12" customFormat="true" ht="15.75" hidden="false" customHeight="true" outlineLevel="0" collapsed="false">
      <c r="A46" s="12" t="s">
        <v>314</v>
      </c>
      <c r="B46" s="39" t="n">
        <f aca="false">B35</f>
        <v>0.110612273738674</v>
      </c>
      <c r="C46" s="33" t="s">
        <v>315</v>
      </c>
      <c r="N46" s="84"/>
    </row>
    <row r="47" s="12" customFormat="true" ht="15.75" hidden="false" customHeight="true" outlineLevel="0" collapsed="false">
      <c r="A47" s="84" t="s">
        <v>316</v>
      </c>
      <c r="B47" s="84"/>
      <c r="C47" s="33"/>
      <c r="D47" s="84"/>
      <c r="H47" s="84"/>
      <c r="I47" s="84"/>
      <c r="J47" s="84"/>
      <c r="K47" s="84"/>
      <c r="L47" s="84"/>
      <c r="M47" s="84"/>
    </row>
    <row r="48" s="12" customFormat="true" ht="15.75" hidden="false" customHeight="true" outlineLevel="0" collapsed="false">
      <c r="A48" s="12" t="s">
        <v>312</v>
      </c>
      <c r="B48" s="28" t="s">
        <v>64</v>
      </c>
      <c r="C48" s="33" t="s">
        <v>317</v>
      </c>
    </row>
    <row r="49" s="12" customFormat="true" ht="15.75" hidden="false" customHeight="true" outlineLevel="0" collapsed="false">
      <c r="A49" s="12" t="s">
        <v>318</v>
      </c>
      <c r="B49" s="39" t="n">
        <v>0.15</v>
      </c>
      <c r="C49" s="33" t="s">
        <v>319</v>
      </c>
    </row>
    <row r="50" s="12" customFormat="true" ht="15.75" hidden="false" customHeight="true" outlineLevel="0" collapsed="false">
      <c r="A50" s="84" t="s">
        <v>320</v>
      </c>
      <c r="C50" s="33"/>
    </row>
    <row r="51" s="12" customFormat="true" ht="15.75" hidden="false" customHeight="true" outlineLevel="0" collapsed="false">
      <c r="A51" s="12" t="s">
        <v>312</v>
      </c>
      <c r="B51" s="28" t="s">
        <v>64</v>
      </c>
      <c r="C51" s="33" t="s">
        <v>321</v>
      </c>
    </row>
    <row r="52" s="12" customFormat="true" ht="15.75" hidden="false" customHeight="true" outlineLevel="0" collapsed="false">
      <c r="A52" s="12" t="s">
        <v>322</v>
      </c>
      <c r="B52" s="89" t="n">
        <v>0.12</v>
      </c>
      <c r="C52" s="33" t="s">
        <v>323</v>
      </c>
    </row>
    <row r="53" s="12" customFormat="true" ht="15.75" hidden="false" customHeight="true" outlineLevel="0" collapsed="false">
      <c r="A53" s="12" t="s">
        <v>324</v>
      </c>
      <c r="B53" s="89" t="s">
        <v>325</v>
      </c>
      <c r="C53" s="33" t="s">
        <v>326</v>
      </c>
    </row>
    <row r="54" s="12" customFormat="true" ht="15.75" hidden="false" customHeight="true" outlineLevel="0" collapsed="false">
      <c r="A54" s="12" t="s">
        <v>327</v>
      </c>
      <c r="B54" s="89" t="n">
        <v>0.5</v>
      </c>
      <c r="C54" s="33" t="s">
        <v>328</v>
      </c>
    </row>
    <row r="55" s="12" customFormat="true" ht="15.75" hidden="false" customHeight="true" outlineLevel="0" collapsed="false">
      <c r="A55" s="12" t="s">
        <v>329</v>
      </c>
      <c r="B55" s="90"/>
      <c r="C55" s="33"/>
    </row>
    <row r="56" s="12" customFormat="true" ht="15.75" hidden="false" customHeight="true" outlineLevel="0" collapsed="false">
      <c r="A56" s="12" t="s">
        <v>330</v>
      </c>
      <c r="B56" s="28" t="s">
        <v>64</v>
      </c>
      <c r="C56" s="33"/>
    </row>
    <row r="57" s="12" customFormat="true" ht="15.75" hidden="false" customHeight="true" outlineLevel="0" collapsed="false">
      <c r="A57" s="12" t="s">
        <v>331</v>
      </c>
      <c r="B57" s="91" t="n">
        <v>1</v>
      </c>
      <c r="C57" s="33"/>
    </row>
    <row r="58" s="12" customFormat="true" ht="15.75" hidden="false" customHeight="true" outlineLevel="0" collapsed="false">
      <c r="A58" s="84" t="s">
        <v>332</v>
      </c>
      <c r="B58" s="92"/>
      <c r="C58" s="33"/>
    </row>
    <row r="59" s="12" customFormat="true" ht="15.75" hidden="false" customHeight="true" outlineLevel="0" collapsed="false">
      <c r="A59" s="12" t="s">
        <v>312</v>
      </c>
      <c r="B59" s="31" t="s">
        <v>64</v>
      </c>
      <c r="C59" s="33"/>
    </row>
    <row r="60" s="12" customFormat="true" ht="15.75" hidden="false" customHeight="true" outlineLevel="0" collapsed="false">
      <c r="A60" s="84" t="s">
        <v>333</v>
      </c>
      <c r="C60" s="33"/>
    </row>
    <row r="61" s="12" customFormat="true" ht="15.75" hidden="false" customHeight="true" outlineLevel="0" collapsed="false">
      <c r="A61" s="12" t="s">
        <v>312</v>
      </c>
      <c r="B61" s="28" t="s">
        <v>64</v>
      </c>
      <c r="C61" s="33" t="s">
        <v>334</v>
      </c>
    </row>
    <row r="62" s="12" customFormat="true" ht="15.75" hidden="false" customHeight="true" outlineLevel="0" collapsed="false">
      <c r="A62" s="12" t="s">
        <v>335</v>
      </c>
      <c r="B62" s="82" t="n">
        <f aca="false">474.8+256.6</f>
        <v>731.4</v>
      </c>
      <c r="C62" s="33" t="s">
        <v>336</v>
      </c>
    </row>
    <row r="63" s="12" customFormat="true" ht="15.75" hidden="false" customHeight="true" outlineLevel="0" collapsed="false">
      <c r="A63" s="12" t="s">
        <v>337</v>
      </c>
      <c r="B63" s="93"/>
      <c r="C63" s="33"/>
    </row>
    <row r="64" s="84" customFormat="true" ht="15.75" hidden="false" customHeight="true" outlineLevel="0" collapsed="false">
      <c r="A64" s="12" t="s">
        <v>312</v>
      </c>
      <c r="B64" s="28" t="s">
        <v>64</v>
      </c>
      <c r="C64" s="33" t="s">
        <v>338</v>
      </c>
      <c r="D64" s="12"/>
      <c r="E64" s="12"/>
      <c r="F64" s="12"/>
      <c r="G64" s="12"/>
      <c r="H64" s="12"/>
      <c r="I64" s="12"/>
      <c r="J64" s="12"/>
      <c r="K64" s="12"/>
      <c r="L64" s="12"/>
      <c r="M64" s="12"/>
      <c r="N64" s="12"/>
    </row>
    <row r="65" s="12" customFormat="true" ht="15.75" hidden="false" customHeight="true" outlineLevel="0" collapsed="false">
      <c r="A65" s="12" t="s">
        <v>339</v>
      </c>
      <c r="B65" s="39" t="n">
        <v>0.02</v>
      </c>
      <c r="C65" s="33" t="s">
        <v>340</v>
      </c>
    </row>
    <row r="66" s="12" customFormat="true" ht="15.75" hidden="false" customHeight="true" outlineLevel="0" collapsed="false">
      <c r="A66" s="12" t="s">
        <v>341</v>
      </c>
      <c r="B66" s="83"/>
      <c r="C66" s="33"/>
      <c r="E66" s="84"/>
      <c r="F66" s="84"/>
      <c r="G66" s="84"/>
      <c r="H66" s="84"/>
      <c r="I66" s="84"/>
      <c r="J66" s="84"/>
      <c r="K66" s="84"/>
      <c r="L66" s="84"/>
      <c r="M66" s="84"/>
      <c r="N66" s="84"/>
    </row>
    <row r="67" s="12" customFormat="true" ht="15.75" hidden="false" customHeight="true" outlineLevel="0" collapsed="false">
      <c r="A67" s="12" t="s">
        <v>312</v>
      </c>
      <c r="B67" s="28" t="s">
        <v>109</v>
      </c>
      <c r="C67" s="33" t="s">
        <v>342</v>
      </c>
    </row>
    <row r="68" s="12" customFormat="true" ht="15.75" hidden="false" customHeight="true" outlineLevel="0" collapsed="false">
      <c r="A68" s="12" t="s">
        <v>343</v>
      </c>
      <c r="B68" s="39" t="n">
        <v>0.0275</v>
      </c>
      <c r="C68" s="33" t="s">
        <v>344</v>
      </c>
    </row>
    <row r="69" s="12" customFormat="true" ht="15.75" hidden="false" customHeight="true" outlineLevel="0" collapsed="false">
      <c r="A69" s="84" t="s">
        <v>345</v>
      </c>
      <c r="B69" s="84"/>
      <c r="C69" s="84"/>
      <c r="D69" s="84"/>
    </row>
    <row r="70" s="12" customFormat="true" ht="15.75" hidden="false" customHeight="true" outlineLevel="0" collapsed="false">
      <c r="A70" s="12" t="s">
        <v>346</v>
      </c>
      <c r="B70" s="28" t="s">
        <v>64</v>
      </c>
    </row>
    <row r="71" s="12" customFormat="true" ht="15.75" hidden="false" customHeight="true" outlineLevel="0" collapsed="false">
      <c r="A71" s="12" t="s">
        <v>347</v>
      </c>
      <c r="B71" s="94" t="n">
        <v>140000</v>
      </c>
      <c r="C71" s="33" t="s">
        <v>348</v>
      </c>
    </row>
    <row r="72" s="12" customFormat="true" ht="15.75" hidden="false" customHeight="true" outlineLevel="0" collapsed="false">
      <c r="A72" s="27" t="s">
        <v>349</v>
      </c>
      <c r="B72" s="89" t="n">
        <v>0.15</v>
      </c>
      <c r="C72" s="33" t="s">
        <v>350</v>
      </c>
    </row>
    <row r="73" customFormat="false" ht="15.75" hidden="false" customHeight="true" outlineLevel="0" collapsed="false">
      <c r="A73" s="95"/>
      <c r="E73" s="12"/>
      <c r="F73" s="12"/>
      <c r="G73" s="12"/>
      <c r="H73" s="12"/>
      <c r="I73" s="12"/>
      <c r="J73" s="12"/>
      <c r="K73" s="12"/>
      <c r="L73" s="12"/>
      <c r="M73" s="12"/>
      <c r="N73" s="12"/>
    </row>
    <row r="74" customFormat="false" ht="15.75" hidden="false" customHeight="true" outlineLevel="0" collapsed="false">
      <c r="E74" s="12"/>
      <c r="F74" s="12"/>
      <c r="G74" s="12"/>
      <c r="H74" s="12"/>
      <c r="I74" s="12"/>
      <c r="J74" s="12"/>
      <c r="K74" s="12"/>
      <c r="L74" s="12"/>
      <c r="M74" s="12"/>
      <c r="N74" s="12"/>
    </row>
  </sheetData>
  <mergeCells count="8">
    <mergeCell ref="A5:J5"/>
    <mergeCell ref="F7:I11"/>
    <mergeCell ref="D11:D15"/>
    <mergeCell ref="E21:N21"/>
    <mergeCell ref="L23:N23"/>
    <mergeCell ref="E33:J33"/>
    <mergeCell ref="C35:D35"/>
    <mergeCell ref="A43:B43"/>
  </mergeCells>
  <dataValidations count="2">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3" type="decimal">
      <formula1>0</formula1>
      <formula2>1</formula2>
    </dataValidation>
    <dataValidation allowBlank="true" errorStyle="stop" operator="between" prompt="If you want to directly input the cost of capital, go to the cost of capital worksheet built into this spreadsheet, and you will have the option to do so. If not, you can use one of three approaches in that worksheet to compute a cost of capital." promptTitle="Do not input" showDropDown="false" showErrorMessage="true" showInputMessage="true" sqref="B35" type="none">
      <formula1>0</formula1>
      <formula2>0</formula2>
    </dataValidation>
  </dataValidations>
  <hyperlinks>
    <hyperlink ref="F7" r:id="rId2" display="If you want a guide through this spreadsheet, try this YouTube video that takes you through each input cell: https://youtu.be/kyKfJ_7-mdg?si=FIeHhnLH2_2brag3 "/>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0"/>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G39" activeCellId="0" sqref="G39"/>
    </sheetView>
  </sheetViews>
  <sheetFormatPr defaultColWidth="10.73046875" defaultRowHeight="15.75" customHeight="false" zeroHeight="false" outlineLevelRow="0" outlineLevelCol="0"/>
  <cols>
    <col collapsed="false" customWidth="true" hidden="false" outlineLevel="0" max="1" min="1" style="96" width="23"/>
    <col collapsed="false" customWidth="true" hidden="false" outlineLevel="0" max="2" min="2" style="96" width="16.66"/>
    <col collapsed="false" customWidth="true" hidden="false" outlineLevel="0" max="13" min="3" style="97" width="15.85"/>
    <col collapsed="false" customWidth="true" hidden="false" outlineLevel="0" max="14" min="14" style="98" width="12.66"/>
  </cols>
  <sheetData>
    <row r="1" customFormat="false" ht="15.75" hidden="false" customHeight="true" outlineLevel="0" collapsed="false">
      <c r="A1" s="99"/>
      <c r="B1" s="100" t="s">
        <v>351</v>
      </c>
      <c r="C1" s="100" t="n">
        <v>1</v>
      </c>
      <c r="D1" s="100" t="n">
        <v>2</v>
      </c>
      <c r="E1" s="100" t="n">
        <v>3</v>
      </c>
      <c r="F1" s="100" t="n">
        <v>4</v>
      </c>
      <c r="G1" s="100" t="n">
        <v>5</v>
      </c>
      <c r="H1" s="100" t="n">
        <v>6</v>
      </c>
      <c r="I1" s="100" t="n">
        <v>7</v>
      </c>
      <c r="J1" s="100" t="n">
        <v>8</v>
      </c>
      <c r="K1" s="100" t="n">
        <v>9</v>
      </c>
      <c r="L1" s="100" t="n">
        <v>10</v>
      </c>
      <c r="M1" s="101" t="s">
        <v>352</v>
      </c>
    </row>
    <row r="2" customFormat="false" ht="15.75" hidden="false" customHeight="true" outlineLevel="0" collapsed="false">
      <c r="A2" s="96" t="s">
        <v>353</v>
      </c>
      <c r="B2" s="102"/>
      <c r="C2" s="103" t="n">
        <f aca="false">'Input sheet'!B26</f>
        <v>0.3</v>
      </c>
      <c r="D2" s="103" t="n">
        <f aca="false">'Input sheet'!B28</f>
        <v>0.05</v>
      </c>
      <c r="E2" s="103" t="n">
        <f aca="false">D2</f>
        <v>0.05</v>
      </c>
      <c r="F2" s="103" t="n">
        <f aca="false">E2</f>
        <v>0.05</v>
      </c>
      <c r="G2" s="103" t="n">
        <f aca="false">F2</f>
        <v>0.05</v>
      </c>
      <c r="H2" s="103" t="n">
        <f aca="false">G2-((G2-$M$2)/5)</f>
        <v>0.0455</v>
      </c>
      <c r="I2" s="103" t="n">
        <f aca="false">G2-((G2-$M$2)/5)*2</f>
        <v>0.041</v>
      </c>
      <c r="J2" s="103" t="n">
        <f aca="false">G2-((G2-$M$2)/5)*3</f>
        <v>0.0365</v>
      </c>
      <c r="K2" s="103" t="n">
        <f aca="false">G2-((G2-$M$2)/5)*4</f>
        <v>0.032</v>
      </c>
      <c r="L2" s="103" t="n">
        <f aca="false">G2-((G2-$M$2)/5)*5</f>
        <v>0.0275</v>
      </c>
      <c r="M2" s="103" t="n">
        <f aca="false">IF('Input sheet'!B67="Yes",'Input sheet'!B68,IF('Input sheet'!B64="Yes",'Input sheet'!B65,'Input sheet'!B34))</f>
        <v>0.0275</v>
      </c>
    </row>
    <row r="3" customFormat="false" ht="15" hidden="false" customHeight="true" outlineLevel="0" collapsed="false">
      <c r="A3" s="96" t="s">
        <v>250</v>
      </c>
      <c r="B3" s="104" t="n">
        <f aca="false">'Input sheet'!B11</f>
        <v>41871</v>
      </c>
      <c r="C3" s="105" t="n">
        <f aca="false">B3*(1+C2)</f>
        <v>54432.3</v>
      </c>
      <c r="D3" s="105" t="n">
        <f aca="false">C3*(1+D2)</f>
        <v>57153.915</v>
      </c>
      <c r="E3" s="105" t="n">
        <f aca="false">D3*(1+E2)</f>
        <v>60011.61075</v>
      </c>
      <c r="F3" s="105" t="n">
        <f aca="false">E3*(1+F2)</f>
        <v>63012.1912875</v>
      </c>
      <c r="G3" s="105" t="n">
        <f aca="false">F3*(1+G2)</f>
        <v>66162.800851875</v>
      </c>
      <c r="H3" s="105" t="n">
        <f aca="false">G3*(1+H2)</f>
        <v>69173.2082906354</v>
      </c>
      <c r="I3" s="105" t="n">
        <f aca="false">H3*(1+I2)</f>
        <v>72009.3098305514</v>
      </c>
      <c r="J3" s="105" t="n">
        <f aca="false">I3*(1+J2)</f>
        <v>74637.6496393665</v>
      </c>
      <c r="K3" s="105" t="n">
        <f aca="false">J3*(1+K2)</f>
        <v>77026.0544278262</v>
      </c>
      <c r="L3" s="105" t="n">
        <f aca="false">K3*(1+L2)</f>
        <v>79144.2709245915</v>
      </c>
      <c r="M3" s="106" t="n">
        <f aca="false">L3*(1+M2)</f>
        <v>81320.7383750177</v>
      </c>
    </row>
    <row r="4" customFormat="false" ht="15" hidden="false" customHeight="true" outlineLevel="0" collapsed="false">
      <c r="A4" s="96" t="s">
        <v>354</v>
      </c>
      <c r="B4" s="107" t="n">
        <f aca="false">B5/B3</f>
        <v>0.118745671228296</v>
      </c>
      <c r="C4" s="103" t="n">
        <f aca="false">'Input sheet'!B27</f>
        <v>0.127</v>
      </c>
      <c r="D4" s="103" t="n">
        <f aca="false">IF(D1&gt;'Input sheet'!$B$30,'Input sheet'!$B$29,'Input sheet'!$B$29-(('Input sheet'!$B$29-$C$4)/'Input sheet'!$B$30)*('Input sheet'!$B$30-D1))</f>
        <v>0.113666666666667</v>
      </c>
      <c r="E4" s="103" t="n">
        <f aca="false">IF(E1&gt;'Input sheet'!$B$30,'Input sheet'!$B$29,'Input sheet'!$B$29-(('Input sheet'!$B$29-$C$4)/'Input sheet'!$B$30)*('Input sheet'!$B$30-E1))</f>
        <v>0.107</v>
      </c>
      <c r="F4" s="103" t="n">
        <f aca="false">IF(F1&gt;'Input sheet'!$B$30,'Input sheet'!$B$29,'Input sheet'!$B$29-(('Input sheet'!$B$29-$C$4)/'Input sheet'!$B$30)*('Input sheet'!$B$30-F1))</f>
        <v>0.107</v>
      </c>
      <c r="G4" s="103" t="n">
        <f aca="false">IF(G1&gt;'Input sheet'!$B$30,'Input sheet'!$B$29,'Input sheet'!$B$29-(('Input sheet'!$B$29-$C$4)/'Input sheet'!$B$30)*('Input sheet'!$B$30-G1))</f>
        <v>0.107</v>
      </c>
      <c r="H4" s="103" t="n">
        <f aca="false">IF(H1&gt;'Input sheet'!$B$30,'Input sheet'!$B$29,'Input sheet'!$B$29-(('Input sheet'!$B$29-$C$4)/'Input sheet'!$B$30)*('Input sheet'!$B$30-H1))</f>
        <v>0.107</v>
      </c>
      <c r="I4" s="103" t="n">
        <f aca="false">IF(I1&gt;'Input sheet'!$B$30,'Input sheet'!$B$29,'Input sheet'!$B$29-(('Input sheet'!$B$29-$C$4)/'Input sheet'!$B$30)*('Input sheet'!$B$30-I1))</f>
        <v>0.107</v>
      </c>
      <c r="J4" s="103" t="n">
        <f aca="false">IF(J1&gt;'Input sheet'!$B$30,'Input sheet'!$B$29,'Input sheet'!$B$29-(('Input sheet'!$B$29-$C$4)/'Input sheet'!$B$30)*('Input sheet'!$B$30-J1))</f>
        <v>0.107</v>
      </c>
      <c r="K4" s="103" t="n">
        <f aca="false">IF(K1&gt;'Input sheet'!$B$30,'Input sheet'!$B$29,'Input sheet'!$B$29-(('Input sheet'!$B$29-$C$4)/'Input sheet'!$B$30)*('Input sheet'!$B$30-K1))</f>
        <v>0.107</v>
      </c>
      <c r="L4" s="103" t="n">
        <f aca="false">IF(L1&gt;'Input sheet'!$B$30,'Input sheet'!$B$29,'Input sheet'!$B$29-(('Input sheet'!$B$29-$C$4)/'Input sheet'!$B$30)*('Input sheet'!$B$30-L1))</f>
        <v>0.107</v>
      </c>
      <c r="M4" s="103" t="n">
        <f aca="false">L4</f>
        <v>0.107</v>
      </c>
    </row>
    <row r="5" customFormat="false" ht="15" hidden="false" customHeight="true" outlineLevel="0" collapsed="false">
      <c r="A5" s="96" t="s">
        <v>355</v>
      </c>
      <c r="B5" s="104" t="n">
        <f aca="false">IF('Input sheet'!B17="Yes",IF('Input sheet'!B16="Yes",'Input sheet'!B12+'Operating lease converter'!F32+'R&amp; D converter'!D39,'Input sheet'!B12+'Operating lease converter'!F32),IF('Input sheet'!B16="Yes",'Input sheet'!B12+'R&amp; D converter'!D39,'Input sheet'!B12))</f>
        <v>4972</v>
      </c>
      <c r="C5" s="105" t="n">
        <f aca="false">C4*C3</f>
        <v>6912.9021</v>
      </c>
      <c r="D5" s="105" t="n">
        <f aca="false">D4*D3</f>
        <v>6496.495005</v>
      </c>
      <c r="E5" s="105" t="n">
        <f aca="false">E4*E3</f>
        <v>6421.24235025</v>
      </c>
      <c r="F5" s="105" t="n">
        <f aca="false">F4*F3</f>
        <v>6742.3044677625</v>
      </c>
      <c r="G5" s="105" t="n">
        <f aca="false">G4*G3</f>
        <v>7079.41969115063</v>
      </c>
      <c r="H5" s="105" t="n">
        <f aca="false">H4*H3</f>
        <v>7401.53328709798</v>
      </c>
      <c r="I5" s="105" t="n">
        <f aca="false">I4*I3</f>
        <v>7704.996151869</v>
      </c>
      <c r="J5" s="105" t="n">
        <f aca="false">J4*J3</f>
        <v>7986.22851141222</v>
      </c>
      <c r="K5" s="105" t="n">
        <f aca="false">K4*K3</f>
        <v>8241.78782377741</v>
      </c>
      <c r="L5" s="105" t="n">
        <f aca="false">L4*L3</f>
        <v>8468.43698893129</v>
      </c>
      <c r="M5" s="106" t="n">
        <f aca="false">M4*M3</f>
        <v>8701.3190061269</v>
      </c>
      <c r="N5" s="108" t="n">
        <f aca="false">M5-B5</f>
        <v>3729.3190061269</v>
      </c>
    </row>
    <row r="6" customFormat="false" ht="15" hidden="false" customHeight="true" outlineLevel="0" collapsed="false">
      <c r="A6" s="96" t="s">
        <v>356</v>
      </c>
      <c r="B6" s="107" t="n">
        <f aca="false">'Input sheet'!B23</f>
        <v>0.17</v>
      </c>
      <c r="C6" s="103" t="n">
        <f aca="false">B6</f>
        <v>0.17</v>
      </c>
      <c r="D6" s="103" t="n">
        <f aca="false">C6</f>
        <v>0.17</v>
      </c>
      <c r="E6" s="103" t="n">
        <f aca="false">D6</f>
        <v>0.17</v>
      </c>
      <c r="F6" s="103" t="n">
        <f aca="false">E6</f>
        <v>0.17</v>
      </c>
      <c r="G6" s="103" t="n">
        <f aca="false">F6</f>
        <v>0.17</v>
      </c>
      <c r="H6" s="103" t="n">
        <f aca="false">G6+($M$6-$G$6)/5</f>
        <v>0.178</v>
      </c>
      <c r="I6" s="103" t="n">
        <f aca="false">H6+($M$6-$G$6)/5</f>
        <v>0.186</v>
      </c>
      <c r="J6" s="103" t="n">
        <f aca="false">I6+($M$6-$G$6)/5</f>
        <v>0.194</v>
      </c>
      <c r="K6" s="103" t="n">
        <f aca="false">J6+($M$6-$G$6)/5</f>
        <v>0.202</v>
      </c>
      <c r="L6" s="103" t="n">
        <f aca="false">K6+($M$6-$G$6)/5</f>
        <v>0.21</v>
      </c>
      <c r="M6" s="103" t="n">
        <f aca="false">IF('Input sheet'!B59="Yes",'Input sheet'!B23,'Input sheet'!B24)</f>
        <v>0.21</v>
      </c>
    </row>
    <row r="7" customFormat="false" ht="15" hidden="false" customHeight="true" outlineLevel="0" collapsed="false">
      <c r="A7" s="96" t="s">
        <v>357</v>
      </c>
      <c r="B7" s="104" t="n">
        <f aca="false">IF(B5&gt;0,B5*(1-B6),B5)</f>
        <v>4126.76</v>
      </c>
      <c r="C7" s="105" t="n">
        <f aca="false">IF(C5&gt;0,IF(C5&lt;B10,C5,C5-(C5-B10)*C6),C5)</f>
        <v>5737.708743</v>
      </c>
      <c r="D7" s="105" t="n">
        <f aca="false">IF(D5&gt;0,IF(D5&lt;C10,D5,D5-(D5-C10)*D6),D5)</f>
        <v>5392.09085415</v>
      </c>
      <c r="E7" s="105" t="n">
        <f aca="false">IF(E5&gt;0,IF(E5&lt;D10,E5,E5-(E5-D10)*E6),E5)</f>
        <v>5329.6311507075</v>
      </c>
      <c r="F7" s="105" t="n">
        <f aca="false">IF(F5&gt;0,IF(F5&lt;E10,F5,F5-(F5-E10)*F6),F5)</f>
        <v>5596.11270824288</v>
      </c>
      <c r="G7" s="105" t="n">
        <f aca="false">IF(G5&gt;0,IF(G5&lt;F10,G5,G5-(G5-F10)*G6),G5)</f>
        <v>5875.91834365502</v>
      </c>
      <c r="H7" s="105" t="n">
        <f aca="false">IF(H5&gt;0,IF(H5&lt;G10,H5,H5-(H5-G10)*H6),H5)</f>
        <v>6084.06036199454</v>
      </c>
      <c r="I7" s="105" t="n">
        <f aca="false">IF(I5&gt;0,IF(I5&lt;H10,I5,I5-(I5-H10)*I6),I5)</f>
        <v>6271.86686762136</v>
      </c>
      <c r="J7" s="105" t="n">
        <f aca="false">IF(J5&gt;0,IF(J5&lt;I10,J5,J5-(J5-I10)*J6),J5)</f>
        <v>6436.90018019825</v>
      </c>
      <c r="K7" s="105" t="n">
        <f aca="false">IF(K5&gt;0,IF(K5&lt;J10,K5,K5-(K5-J10)*K6),K5)</f>
        <v>6576.94668337437</v>
      </c>
      <c r="L7" s="105" t="n">
        <f aca="false">IF(L5&gt;0,IF(L5&lt;K10,L5,L5-(L5-K10)*L6),L5)</f>
        <v>6690.06522125572</v>
      </c>
      <c r="M7" s="105" t="n">
        <f aca="false">M5*(1-M6)</f>
        <v>6874.04201484025</v>
      </c>
    </row>
    <row r="8" customFormat="false" ht="15" hidden="false" customHeight="true" outlineLevel="0" collapsed="false">
      <c r="A8" s="96" t="s">
        <v>358</v>
      </c>
      <c r="B8" s="104"/>
      <c r="C8" s="105" t="n">
        <f aca="false">IF('Input sheet'!$B$56="No",(D3-C3)/C38,IF('Input sheet'!$B$57=0,(C3-B3)/C38,IF('Input sheet'!$B$57=2,(E3-D3)/C38,IF('Input sheet'!$B$57=3,(F3-E3)/C38,(D3-C3)/C38))))</f>
        <v>453.602500000001</v>
      </c>
      <c r="D8" s="105" t="n">
        <f aca="false">IF('Input sheet'!$B$56="No",(E3-D3)/D38,IF('Input sheet'!$B$57=0,(D3-C3)/D38,IF('Input sheet'!$B$57=2,(F3-E3)/D38,IF('Input sheet'!$B$57=3,(G3-F3)/D38,(E3-D3)/D38))))</f>
        <v>476.282625000001</v>
      </c>
      <c r="E8" s="105" t="n">
        <f aca="false">IF('Input sheet'!$B$56="No",(F3-E3)/E38,IF('Input sheet'!$B$57=0,(E3-D3)/E38,IF('Input sheet'!$B$57=2,(G3-F3)/E38,IF('Input sheet'!$B$57=3,(H3-G3)/E38,(F3-E3)/E38))))</f>
        <v>500.096756250001</v>
      </c>
      <c r="F8" s="105" t="n">
        <f aca="false">IF('Input sheet'!$B$56="No",(G3-F3)/F38,IF('Input sheet'!$B$57=0,(F3-E3)/F38,IF('Input sheet'!$B$57=2,(H3-G3)/F38,IF('Input sheet'!$B$57=3,(I3-H3)/F38,(G3-F3)/F38))))</f>
        <v>525.101594062502</v>
      </c>
      <c r="G8" s="105" t="n">
        <f aca="false">IF('Input sheet'!$B$56="No",(H3-G3)/G38,IF('Input sheet'!$B$57=0,(G3-F3)/G38,IF('Input sheet'!$B$57=2,(I3-H3)/G38,IF('Input sheet'!$B$57=3,(J3-I3)/G38,(H3-G3)/G38))))</f>
        <v>501.73457312672</v>
      </c>
      <c r="H8" s="105" t="n">
        <f aca="false">IF('Input sheet'!$B$56="No",(I3-H3)/H38,IF('Input sheet'!$B$57=0,(H3-G3)/H38,IF('Input sheet'!$B$57=2,(J3-I3)/H38,IF('Input sheet'!$B$57=3,(K3-J3)/H38,(I3-H3)/H38))))</f>
        <v>472.683589986006</v>
      </c>
      <c r="I8" s="105" t="n">
        <f aca="false">IF('Input sheet'!$B$56="No",(J3-I3)/I38,IF('Input sheet'!$B$57=0,(I3-H3)/I38,IF('Input sheet'!$B$57=2,(K3-J3)/I38,IF('Input sheet'!$B$57=3,(L3-K3)/I38,(J3-I3)/I38))))</f>
        <v>438.056634802522</v>
      </c>
      <c r="J8" s="105" t="n">
        <f aca="false">IF('Input sheet'!$B$56="No",(K3-J3)/J38,IF('Input sheet'!$B$57=0,(J3-I3)/J38,IF('Input sheet'!$B$57=2,(L3-K3)/J38,IF('Input sheet'!$B$57=3,(M3-L3)/J38,(K3-J3)/J38))))</f>
        <v>398.067464743287</v>
      </c>
      <c r="K8" s="105" t="n">
        <f aca="false">IF('Input sheet'!$B$56="No",(L3-K3)/K38,IF('Input sheet'!$B$57=0,(K3-J3)/K38,IF('Input sheet'!$B$57=2,L3*L2/K38,IF('Input sheet'!$B$57=3,M3*M2/K38,(L3-K3)/K38))))</f>
        <v>353.036082794203</v>
      </c>
      <c r="L8" s="105" t="n">
        <f aca="false">IF('Input sheet'!$B$56="No",(M3-L3)/L38,IF('Input sheet'!$B$57=0,(L3-K3)/L38,IF('Input sheet'!$B$57=2,M3*M2/L38,IF('Input sheet'!$B$57=3,K8*(1+M2),(M3-L3)/L38))))</f>
        <v>362.744575071044</v>
      </c>
      <c r="M8" s="105" t="n">
        <f aca="false">IF(M2&gt;0,(M2/M40)*M7,0)</f>
        <v>2059.21737917328</v>
      </c>
      <c r="N8" s="108" t="n">
        <f aca="false">SUM(C8:M8)</f>
        <v>6540.62377500956</v>
      </c>
    </row>
    <row r="9" customFormat="false" ht="15" hidden="false" customHeight="true" outlineLevel="0" collapsed="false">
      <c r="A9" s="96" t="s">
        <v>359</v>
      </c>
      <c r="B9" s="104"/>
      <c r="C9" s="105" t="n">
        <f aca="false">C7-C8</f>
        <v>5284.106243</v>
      </c>
      <c r="D9" s="105" t="n">
        <f aca="false">D7-D8</f>
        <v>4915.80822915</v>
      </c>
      <c r="E9" s="105" t="n">
        <f aca="false">E7-E8</f>
        <v>4829.5343944575</v>
      </c>
      <c r="F9" s="105" t="n">
        <f aca="false">F7-F8</f>
        <v>5071.01111418038</v>
      </c>
      <c r="G9" s="105" t="n">
        <f aca="false">G7-G8</f>
        <v>5374.1837705283</v>
      </c>
      <c r="H9" s="105" t="n">
        <f aca="false">H7-H8</f>
        <v>5611.37677200854</v>
      </c>
      <c r="I9" s="105" t="n">
        <f aca="false">I7-I8</f>
        <v>5833.81023281884</v>
      </c>
      <c r="J9" s="105" t="n">
        <f aca="false">J7-J8</f>
        <v>6038.83271545496</v>
      </c>
      <c r="K9" s="105" t="n">
        <f aca="false">K7-K8</f>
        <v>6223.91060058017</v>
      </c>
      <c r="L9" s="105" t="n">
        <f aca="false">L7-L8</f>
        <v>6327.32064618467</v>
      </c>
      <c r="M9" s="105" t="n">
        <f aca="false">M7-M8</f>
        <v>4814.82463566697</v>
      </c>
    </row>
    <row r="10" customFormat="false" ht="15" hidden="false" customHeight="true" outlineLevel="0" collapsed="false">
      <c r="A10" s="96" t="s">
        <v>360</v>
      </c>
      <c r="B10" s="104" t="n">
        <f aca="false">IF('Input sheet'!B61="Yes",'Input sheet'!B62,0)</f>
        <v>0</v>
      </c>
      <c r="C10" s="105" t="n">
        <f aca="false">IF(C5&lt;0,B10-C5,IF(B10&gt;C5,B10-C5,0))</f>
        <v>0</v>
      </c>
      <c r="D10" s="105" t="n">
        <f aca="false">IF(D5&lt;0,C10-D5,IF(C10&gt;D5,C10-D5,0))</f>
        <v>0</v>
      </c>
      <c r="E10" s="105" t="n">
        <f aca="false">IF(E5&lt;0,D10-E5,IF(D10&gt;E5,D10-E5,0))</f>
        <v>0</v>
      </c>
      <c r="F10" s="105" t="n">
        <f aca="false">IF(F5&lt;0,E10-F5,IF(E10&gt;F5,E10-F5,0))</f>
        <v>0</v>
      </c>
      <c r="G10" s="105" t="n">
        <f aca="false">IF(G5&lt;0,F10-G5,IF(F10&gt;G5,F10-G5,0))</f>
        <v>0</v>
      </c>
      <c r="H10" s="105" t="n">
        <f aca="false">IF(H5&lt;0,G10-H5,IF(G10&gt;H5,G10-H5,0))</f>
        <v>0</v>
      </c>
      <c r="I10" s="105" t="n">
        <f aca="false">IF(I5&lt;0,H10-I5,IF(H10&gt;I5,H10-I5,0))</f>
        <v>0</v>
      </c>
      <c r="J10" s="105" t="n">
        <f aca="false">IF(J5&lt;0,I10-J5,IF(I10&gt;J5,I10-J5,0))</f>
        <v>0</v>
      </c>
      <c r="K10" s="105" t="n">
        <f aca="false">IF(K5&lt;0,J10-K5,IF(J10&gt;K5,J10-K5,0))</f>
        <v>0</v>
      </c>
      <c r="L10" s="105" t="n">
        <f aca="false">IF(L5&lt;0,K10-L5,IF(K10&gt;L5,K10-L5,0))</f>
        <v>0</v>
      </c>
      <c r="M10" s="105" t="n">
        <f aca="false">IF(M5&lt;0,L10-M5,IF(L10&gt;M5,L10-M5,0))</f>
        <v>0</v>
      </c>
    </row>
    <row r="11" customFormat="false" ht="15" hidden="false" customHeight="true" outlineLevel="0" collapsed="false">
      <c r="B11" s="102"/>
      <c r="C11" s="109"/>
      <c r="D11" s="109"/>
      <c r="E11" s="109"/>
      <c r="F11" s="109"/>
      <c r="G11" s="109"/>
      <c r="H11" s="109"/>
      <c r="I11" s="109"/>
      <c r="J11" s="109"/>
      <c r="K11" s="109"/>
      <c r="L11" s="109"/>
      <c r="M11" s="109"/>
    </row>
    <row r="12" customFormat="false" ht="15" hidden="false" customHeight="true" outlineLevel="0" collapsed="false">
      <c r="A12" s="96" t="s">
        <v>15</v>
      </c>
      <c r="B12" s="107"/>
      <c r="C12" s="103" t="n">
        <f aca="false">'Input sheet'!B35</f>
        <v>0.110612273738674</v>
      </c>
      <c r="D12" s="103" t="n">
        <f aca="false">C12</f>
        <v>0.110612273738674</v>
      </c>
      <c r="E12" s="103" t="n">
        <f aca="false">D12</f>
        <v>0.110612273738674</v>
      </c>
      <c r="F12" s="103" t="n">
        <f aca="false">E12</f>
        <v>0.110612273738674</v>
      </c>
      <c r="G12" s="103" t="n">
        <f aca="false">F12</f>
        <v>0.110612273738674</v>
      </c>
      <c r="H12" s="103" t="n">
        <f aca="false">G12-($G$12-$M$12)/5</f>
        <v>0.10684981899094</v>
      </c>
      <c r="I12" s="103" t="n">
        <f aca="false">H12-($G$12-$M$12)/5</f>
        <v>0.103087364243205</v>
      </c>
      <c r="J12" s="103" t="n">
        <f aca="false">I12-($G$12-$M$12)/5</f>
        <v>0.0993249094954698</v>
      </c>
      <c r="K12" s="103" t="n">
        <f aca="false">J12-($G$12-$M$12)/5</f>
        <v>0.0955624547477349</v>
      </c>
      <c r="L12" s="103" t="n">
        <f aca="false">K12-($G$12-$M$12)/5</f>
        <v>0.0918</v>
      </c>
      <c r="M12" s="103" t="n">
        <f aca="false">IF('Input sheet'!B45="Yes",'Input sheet'!B46,IF('Input sheet'!B64="Yes",'Input sheet'!B65+'Country equity risk premiums'!B1,'Input sheet'!B34+'Country equity risk premiums'!B1))</f>
        <v>0.0918</v>
      </c>
    </row>
    <row r="13" customFormat="false" ht="15" hidden="false" customHeight="true" outlineLevel="0" collapsed="false">
      <c r="A13" s="96" t="s">
        <v>361</v>
      </c>
      <c r="B13" s="102"/>
      <c r="C13" s="110" t="n">
        <f aca="false">1/(1+C12)</f>
        <v>0.900404239756582</v>
      </c>
      <c r="D13" s="110" t="n">
        <f aca="false">C13*(1/(1+D12))</f>
        <v>0.810727794971628</v>
      </c>
      <c r="E13" s="110" t="n">
        <f aca="false">D13*(1/(1+E12))</f>
        <v>0.729982743880959</v>
      </c>
      <c r="F13" s="110" t="n">
        <f aca="false">E13*(1/(1+F12))</f>
        <v>0.657279557539558</v>
      </c>
      <c r="G13" s="110" t="n">
        <f aca="false">F13*(1/(1+G12))</f>
        <v>0.591817300313948</v>
      </c>
      <c r="H13" s="110" t="n">
        <f aca="false">G13*(1/(1+H12))</f>
        <v>0.53468617888331</v>
      </c>
      <c r="I13" s="110" t="n">
        <f aca="false">H13*(1/(1+I12))</f>
        <v>0.484717889276288</v>
      </c>
      <c r="J13" s="110" t="n">
        <f aca="false">I13*(1/(1+J12))</f>
        <v>0.440923229419723</v>
      </c>
      <c r="K13" s="110" t="n">
        <f aca="false">J13*(1/(1+K12))</f>
        <v>0.402462887906514</v>
      </c>
      <c r="L13" s="110" t="n">
        <f aca="false">K13*(1/(1+L12))</f>
        <v>0.368623271575851</v>
      </c>
      <c r="M13" s="109"/>
    </row>
    <row r="14" customFormat="false" ht="15" hidden="false" customHeight="true" outlineLevel="0" collapsed="false">
      <c r="A14" s="96" t="s">
        <v>362</v>
      </c>
      <c r="B14" s="102"/>
      <c r="C14" s="105" t="n">
        <f aca="false">C9*C13</f>
        <v>4757.83166452142</v>
      </c>
      <c r="D14" s="105" t="n">
        <f aca="false">D9*D13</f>
        <v>3985.38236612216</v>
      </c>
      <c r="E14" s="105" t="n">
        <f aca="false">E9*E13</f>
        <v>3525.47676893355</v>
      </c>
      <c r="F14" s="105" t="n">
        <f aca="false">F9*F13</f>
        <v>3333.07194140666</v>
      </c>
      <c r="G14" s="105" t="n">
        <f aca="false">G9*G13</f>
        <v>3180.5349304651</v>
      </c>
      <c r="H14" s="105" t="n">
        <f aca="false">H9*H13</f>
        <v>3000.3256044998</v>
      </c>
      <c r="I14" s="105" t="n">
        <f aca="false">I9*I13</f>
        <v>2827.75218249036</v>
      </c>
      <c r="J14" s="105" t="n">
        <f aca="false">J9*J13</f>
        <v>2662.66162282388</v>
      </c>
      <c r="K14" s="105" t="n">
        <f aca="false">K9*K13</f>
        <v>2504.89303438146</v>
      </c>
      <c r="L14" s="105" t="n">
        <f aca="false">L9*L13</f>
        <v>2332.39763690602</v>
      </c>
      <c r="M14" s="109"/>
    </row>
    <row r="15" customFormat="false" ht="15" hidden="false" customHeight="true" outlineLevel="0" collapsed="false"/>
    <row r="16" customFormat="false" ht="15" hidden="false" customHeight="true" outlineLevel="0" collapsed="false">
      <c r="A16" s="111" t="s">
        <v>363</v>
      </c>
      <c r="B16" s="104" t="n">
        <f aca="false">M9</f>
        <v>4814.82463566697</v>
      </c>
    </row>
    <row r="17" customFormat="false" ht="15" hidden="false" customHeight="true" outlineLevel="0" collapsed="false">
      <c r="A17" s="111" t="s">
        <v>364</v>
      </c>
      <c r="B17" s="107" t="n">
        <f aca="false">M12</f>
        <v>0.0918</v>
      </c>
      <c r="D17" s="112"/>
    </row>
    <row r="18" customFormat="false" ht="15.75" hidden="false" customHeight="true" outlineLevel="0" collapsed="false">
      <c r="A18" s="111" t="s">
        <v>365</v>
      </c>
      <c r="B18" s="104" t="n">
        <f aca="false">B16/(B17-M2)</f>
        <v>74880.6319699374</v>
      </c>
      <c r="D18" s="113"/>
      <c r="M18" s="112"/>
    </row>
    <row r="19" customFormat="false" ht="15.75" hidden="false" customHeight="true" outlineLevel="0" collapsed="false">
      <c r="A19" s="111" t="s">
        <v>366</v>
      </c>
      <c r="B19" s="104" t="n">
        <f aca="false">B18*L13</f>
        <v>27602.7435344256</v>
      </c>
      <c r="D19" s="112"/>
    </row>
    <row r="20" customFormat="false" ht="15.75" hidden="false" customHeight="true" outlineLevel="0" collapsed="false">
      <c r="A20" s="111" t="s">
        <v>367</v>
      </c>
      <c r="B20" s="104" t="n">
        <f aca="false">SUM(C14:L14)</f>
        <v>32110.3277525504</v>
      </c>
    </row>
    <row r="21" customFormat="false" ht="15.75" hidden="false" customHeight="true" outlineLevel="0" collapsed="false">
      <c r="A21" s="111" t="s">
        <v>368</v>
      </c>
      <c r="B21" s="104" t="n">
        <f aca="false">B19+B20</f>
        <v>59713.071286976</v>
      </c>
    </row>
    <row r="22" customFormat="false" ht="15.75" hidden="false" customHeight="true" outlineLevel="0" collapsed="false">
      <c r="A22" s="111" t="s">
        <v>369</v>
      </c>
      <c r="B22" s="107" t="n">
        <f aca="false">IF('Input sheet'!B51="Yes",'Input sheet'!B52,0)</f>
        <v>0</v>
      </c>
      <c r="E22" s="112"/>
    </row>
    <row r="23" customFormat="false" ht="15.75" hidden="false" customHeight="true" outlineLevel="0" collapsed="false">
      <c r="A23" s="111" t="s">
        <v>370</v>
      </c>
      <c r="B23" s="114" t="n">
        <f aca="false">IF('Input sheet'!B53="B",('Input sheet'!B14+'Input sheet'!B15)*'Input sheet'!B54,'Valuation output'!B21*'Input sheet'!B54)</f>
        <v>29856.535643488</v>
      </c>
    </row>
    <row r="24" customFormat="false" ht="15.75" hidden="false" customHeight="true" outlineLevel="0" collapsed="false">
      <c r="A24" s="111" t="s">
        <v>371</v>
      </c>
      <c r="B24" s="104" t="n">
        <f aca="false">B21*(1-B22)+B23*B22</f>
        <v>59713.071286976</v>
      </c>
    </row>
    <row r="25" customFormat="false" ht="15.75" hidden="false" customHeight="true" outlineLevel="0" collapsed="false">
      <c r="A25" s="111" t="s">
        <v>372</v>
      </c>
      <c r="B25" s="104" t="n">
        <f aca="false">IF('Input sheet'!B17="Yes",'Input sheet'!B15+'Operating lease converter'!C28,'Input sheet'!B15)</f>
        <v>20244</v>
      </c>
    </row>
    <row r="26" customFormat="false" ht="15.75" hidden="false" customHeight="true" outlineLevel="0" collapsed="false">
      <c r="A26" s="111" t="s">
        <v>373</v>
      </c>
      <c r="B26" s="104" t="n">
        <f aca="false">'Input sheet'!B20</f>
        <v>62</v>
      </c>
    </row>
    <row r="27" customFormat="false" ht="15.75" hidden="false" customHeight="true" outlineLevel="0" collapsed="false">
      <c r="A27" s="111" t="s">
        <v>374</v>
      </c>
      <c r="B27" s="104" t="n">
        <f aca="false">IF('Input sheet'!B70="YES",'Input sheet'!B18-'Input sheet'!B71*('Input sheet'!B24-'Input sheet'!B72),'Input sheet'!B18)</f>
        <v>6216</v>
      </c>
      <c r="D27" s="115" t="s">
        <v>375</v>
      </c>
      <c r="E27" s="115"/>
      <c r="F27" s="115"/>
    </row>
    <row r="28" customFormat="false" ht="15.75" hidden="false" customHeight="true" outlineLevel="0" collapsed="false">
      <c r="A28" s="111" t="s">
        <v>376</v>
      </c>
      <c r="B28" s="104" t="n">
        <f aca="false">'Input sheet'!B19</f>
        <v>0</v>
      </c>
      <c r="D28" s="115"/>
      <c r="E28" s="115"/>
      <c r="F28" s="115"/>
    </row>
    <row r="29" customFormat="false" ht="15.75" hidden="false" customHeight="true" outlineLevel="0" collapsed="false">
      <c r="A29" s="111" t="s">
        <v>377</v>
      </c>
      <c r="B29" s="104" t="n">
        <f aca="false">B24-B25-B26+B27+B28</f>
        <v>45623.071286976</v>
      </c>
      <c r="D29" s="115"/>
      <c r="E29" s="115"/>
      <c r="F29" s="115"/>
    </row>
    <row r="30" customFormat="false" ht="15.75" hidden="false" customHeight="true" outlineLevel="0" collapsed="false">
      <c r="A30" s="111" t="s">
        <v>378</v>
      </c>
      <c r="B30" s="116" t="n">
        <f aca="false">IF('Input sheet'!B37="No",0,'Option value'!B29)</f>
        <v>0</v>
      </c>
      <c r="D30" s="115"/>
      <c r="E30" s="115"/>
      <c r="F30" s="115"/>
    </row>
    <row r="31" customFormat="false" ht="15.75" hidden="false" customHeight="true" outlineLevel="0" collapsed="false">
      <c r="A31" s="111" t="s">
        <v>379</v>
      </c>
      <c r="B31" s="104" t="n">
        <f aca="false">B29-B30</f>
        <v>45623.071286976</v>
      </c>
      <c r="D31" s="115"/>
      <c r="E31" s="115"/>
      <c r="F31" s="115"/>
    </row>
    <row r="32" customFormat="false" ht="15.75" hidden="false" customHeight="true" outlineLevel="0" collapsed="false">
      <c r="A32" s="111" t="s">
        <v>380</v>
      </c>
      <c r="B32" s="117" t="n">
        <f aca="false">'Input sheet'!B21</f>
        <v>1445.21</v>
      </c>
      <c r="D32" s="115"/>
      <c r="E32" s="115"/>
      <c r="F32" s="115"/>
    </row>
    <row r="33" customFormat="false" ht="15.75" hidden="false" customHeight="true" outlineLevel="0" collapsed="false">
      <c r="A33" s="111" t="s">
        <v>381</v>
      </c>
      <c r="B33" s="118" t="n">
        <f aca="false">B31/B32</f>
        <v>31.5684719085642</v>
      </c>
    </row>
    <row r="34" customFormat="false" ht="15.75" hidden="false" customHeight="true" outlineLevel="0" collapsed="false">
      <c r="A34" s="111" t="s">
        <v>382</v>
      </c>
      <c r="B34" s="104" t="n">
        <f aca="false">'Input sheet'!B22</f>
        <v>62.0900001525879</v>
      </c>
    </row>
    <row r="35" customFormat="false" ht="15.75" hidden="false" customHeight="true" outlineLevel="0" collapsed="false">
      <c r="A35" s="111" t="s">
        <v>383</v>
      </c>
      <c r="B35" s="107" t="n">
        <f aca="false">B34/B33</f>
        <v>1.96683578262601</v>
      </c>
    </row>
    <row r="37" customFormat="false" ht="15.75" hidden="false" customHeight="true" outlineLevel="0" collapsed="false">
      <c r="A37" s="119" t="s">
        <v>384</v>
      </c>
      <c r="B37" s="102"/>
      <c r="C37" s="109"/>
      <c r="D37" s="109"/>
      <c r="E37" s="109"/>
      <c r="F37" s="109"/>
      <c r="G37" s="109"/>
      <c r="H37" s="109"/>
      <c r="I37" s="109"/>
      <c r="J37" s="109"/>
      <c r="K37" s="109"/>
      <c r="L37" s="109"/>
      <c r="M37" s="109" t="s">
        <v>385</v>
      </c>
    </row>
    <row r="38" customFormat="false" ht="15.75" hidden="false" customHeight="true" outlineLevel="0" collapsed="false">
      <c r="A38" s="111" t="s">
        <v>386</v>
      </c>
      <c r="B38" s="102"/>
      <c r="C38" s="120" t="n">
        <f aca="false">'Input sheet'!B31</f>
        <v>6</v>
      </c>
      <c r="D38" s="120" t="n">
        <f aca="false">'Input sheet'!B31</f>
        <v>6</v>
      </c>
      <c r="E38" s="120" t="n">
        <f aca="false">D38</f>
        <v>6</v>
      </c>
      <c r="F38" s="120" t="n">
        <f aca="false">E38</f>
        <v>6</v>
      </c>
      <c r="G38" s="120" t="n">
        <f aca="false">F38</f>
        <v>6</v>
      </c>
      <c r="H38" s="120" t="n">
        <f aca="false">'Input sheet'!B32</f>
        <v>6</v>
      </c>
      <c r="I38" s="120" t="n">
        <f aca="false">H38</f>
        <v>6</v>
      </c>
      <c r="J38" s="120" t="n">
        <f aca="false">I38</f>
        <v>6</v>
      </c>
      <c r="K38" s="120" t="n">
        <f aca="false">J38</f>
        <v>6</v>
      </c>
      <c r="L38" s="120" t="n">
        <f aca="false">K38</f>
        <v>6</v>
      </c>
      <c r="M38" s="109"/>
    </row>
    <row r="39" customFormat="false" ht="15.75" hidden="false" customHeight="true" outlineLevel="0" collapsed="false">
      <c r="A39" s="111" t="s">
        <v>387</v>
      </c>
      <c r="B39" s="121" t="n">
        <f aca="false">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40604</v>
      </c>
      <c r="C39" s="122" t="n">
        <f aca="false">B39+C8</f>
        <v>41057.6025</v>
      </c>
      <c r="D39" s="122" t="n">
        <f aca="false">C39+D8</f>
        <v>41533.885125</v>
      </c>
      <c r="E39" s="122" t="n">
        <f aca="false">D39+E8</f>
        <v>42033.98188125</v>
      </c>
      <c r="F39" s="122" t="n">
        <f aca="false">E39+F8</f>
        <v>42559.0834753125</v>
      </c>
      <c r="G39" s="122" t="n">
        <f aca="false">F39+G8</f>
        <v>43060.8180484392</v>
      </c>
      <c r="H39" s="122" t="n">
        <f aca="false">G39+H8</f>
        <v>43533.5016384252</v>
      </c>
      <c r="I39" s="122" t="n">
        <f aca="false">H39+I8</f>
        <v>43971.5582732278</v>
      </c>
      <c r="J39" s="122" t="n">
        <f aca="false">I39+J8</f>
        <v>44369.625737971</v>
      </c>
      <c r="K39" s="122" t="n">
        <f aca="false">J39+K8</f>
        <v>44722.6618207653</v>
      </c>
      <c r="L39" s="122" t="n">
        <f aca="false">K39+L8</f>
        <v>45085.4063958363</v>
      </c>
      <c r="M39" s="109"/>
    </row>
    <row r="40" customFormat="false" ht="15.75" hidden="false" customHeight="true" outlineLevel="0" collapsed="false">
      <c r="A40" s="111" t="s">
        <v>388</v>
      </c>
      <c r="B40" s="107" t="n">
        <f aca="false">B7/B39</f>
        <v>0.1016343217417</v>
      </c>
      <c r="C40" s="103" t="n">
        <f aca="false">C7/B39</f>
        <v>0.141308953378977</v>
      </c>
      <c r="D40" s="103" t="n">
        <f aca="false">D7/C39</f>
        <v>0.131329900574443</v>
      </c>
      <c r="E40" s="103" t="n">
        <f aca="false">E7/D39</f>
        <v>0.12832007250628</v>
      </c>
      <c r="F40" s="103" t="n">
        <f aca="false">F7/E39</f>
        <v>0.133133061817756</v>
      </c>
      <c r="G40" s="103" t="n">
        <f aca="false">G7/F39</f>
        <v>0.138064964370379</v>
      </c>
      <c r="H40" s="103" t="n">
        <f aca="false">H7/G39</f>
        <v>0.141289939154211</v>
      </c>
      <c r="I40" s="103" t="n">
        <f aca="false">I7/H39</f>
        <v>0.144069891728752</v>
      </c>
      <c r="J40" s="103" t="n">
        <f aca="false">J7/I39</f>
        <v>0.146387811416667</v>
      </c>
      <c r="K40" s="103" t="n">
        <f aca="false">K7/J39</f>
        <v>0.148230835261382</v>
      </c>
      <c r="L40" s="103" t="n">
        <f aca="false">L7/K39</f>
        <v>0.149590050075003</v>
      </c>
      <c r="M40" s="103" t="n">
        <f aca="false">IF('Input sheet'!B48="Yes",'Input sheet'!B49,'Valuation output'!L12)</f>
        <v>0.0918</v>
      </c>
    </row>
  </sheetData>
  <mergeCells count="1">
    <mergeCell ref="D27:F3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
  <sheetViews>
    <sheetView showFormulas="false" showGridLines="true" showRowColHeaders="true" showZeros="true" rightToLeft="false" tabSelected="false" showOutlineSymbols="true" defaultGridColor="true" view="normal" topLeftCell="A1" colorId="64" zoomScale="116" zoomScaleNormal="116" zoomScalePageLayoutView="100" workbookViewId="0">
      <selection pane="topLeft" activeCell="E36" activeCellId="0" sqref="E36"/>
    </sheetView>
  </sheetViews>
  <sheetFormatPr defaultColWidth="10.73046875" defaultRowHeight="15.75" customHeight="false" zeroHeight="false" outlineLevelRow="0" outlineLevelCol="0"/>
  <cols>
    <col collapsed="false" customWidth="true" hidden="false" outlineLevel="0" max="1" min="1" style="123" width="20.33"/>
    <col collapsed="false" customWidth="true" hidden="false" outlineLevel="0" max="2" min="2" style="123" width="19.51"/>
    <col collapsed="false" customWidth="true" hidden="false" outlineLevel="0" max="3" min="3" style="123" width="17.66"/>
    <col collapsed="false" customWidth="true" hidden="false" outlineLevel="0" max="4" min="4" style="123" width="16.51"/>
    <col collapsed="false" customWidth="true" hidden="false" outlineLevel="0" max="5" min="5" style="123" width="19.18"/>
    <col collapsed="false" customWidth="true" hidden="false" outlineLevel="0" max="6" min="6" style="124" width="24.66"/>
    <col collapsed="false" customWidth="true" hidden="false" outlineLevel="0" max="7" min="7" style="123" width="37.33"/>
    <col collapsed="false" customWidth="true" hidden="false" outlineLevel="0" max="8" min="8" style="98" width="17"/>
    <col collapsed="false" customWidth="true" hidden="false" outlineLevel="0" max="13" min="13" style="98" width="12.52"/>
  </cols>
  <sheetData>
    <row r="1" customFormat="false" ht="15.75" hidden="false" customHeight="true" outlineLevel="0" collapsed="false">
      <c r="A1" s="125" t="str">
        <f aca="false">'Input sheet'!B4</f>
        <v>Hewlett Packard Enterprise</v>
      </c>
      <c r="B1" s="125"/>
      <c r="C1" s="125"/>
      <c r="D1" s="125"/>
      <c r="E1" s="125"/>
      <c r="F1" s="125"/>
      <c r="G1" s="126" t="n">
        <f aca="false">'Input sheet'!B3</f>
        <v>44814</v>
      </c>
    </row>
    <row r="2" customFormat="false" ht="15.75" hidden="false" customHeight="true" outlineLevel="0" collapsed="false">
      <c r="A2" s="127" t="s">
        <v>213</v>
      </c>
      <c r="B2" s="127"/>
      <c r="C2" s="127"/>
      <c r="D2" s="127"/>
      <c r="E2" s="127"/>
      <c r="F2" s="127"/>
      <c r="G2" s="127"/>
    </row>
    <row r="3" customFormat="false" ht="15.75" hidden="false" customHeight="true" outlineLevel="0" collapsed="false">
      <c r="A3" s="128" t="s">
        <v>216</v>
      </c>
      <c r="B3" s="128"/>
      <c r="C3" s="128"/>
      <c r="D3" s="128"/>
      <c r="E3" s="128"/>
      <c r="F3" s="128"/>
      <c r="G3" s="128"/>
      <c r="H3" s="129" t="s">
        <v>389</v>
      </c>
      <c r="I3" s="129"/>
      <c r="J3" s="129"/>
      <c r="K3" s="129"/>
    </row>
    <row r="4" customFormat="false" ht="15.75" hidden="false" customHeight="true" outlineLevel="0" collapsed="false">
      <c r="A4" s="128"/>
      <c r="B4" s="128"/>
      <c r="C4" s="128"/>
      <c r="D4" s="128"/>
      <c r="E4" s="128"/>
      <c r="F4" s="128"/>
      <c r="G4" s="128"/>
      <c r="H4" s="129"/>
      <c r="I4" s="129"/>
      <c r="J4" s="129"/>
      <c r="K4" s="129"/>
    </row>
    <row r="5" customFormat="false" ht="12" hidden="false" customHeight="true" outlineLevel="0" collapsed="false">
      <c r="A5" s="128"/>
      <c r="B5" s="128"/>
      <c r="C5" s="128"/>
      <c r="D5" s="128"/>
      <c r="E5" s="128"/>
      <c r="F5" s="128"/>
      <c r="G5" s="128"/>
      <c r="H5" s="129"/>
      <c r="I5" s="129"/>
      <c r="J5" s="129"/>
      <c r="K5" s="129"/>
    </row>
    <row r="6" customFormat="false" ht="16.5" hidden="false" customHeight="true" outlineLevel="0" collapsed="false">
      <c r="A6" s="128"/>
      <c r="B6" s="128"/>
      <c r="C6" s="128"/>
      <c r="D6" s="128"/>
      <c r="E6" s="128"/>
      <c r="F6" s="128"/>
      <c r="G6" s="128"/>
      <c r="H6" s="129"/>
      <c r="I6" s="129"/>
      <c r="J6" s="129"/>
      <c r="K6" s="129"/>
    </row>
    <row r="7" customFormat="false" ht="15.75" hidden="false" customHeight="true" outlineLevel="0" collapsed="false">
      <c r="A7" s="130" t="s">
        <v>390</v>
      </c>
      <c r="B7" s="130"/>
      <c r="C7" s="130"/>
      <c r="D7" s="130"/>
      <c r="E7" s="130"/>
      <c r="F7" s="130"/>
      <c r="G7" s="130"/>
    </row>
    <row r="8" customFormat="false" ht="15.75" hidden="false" customHeight="true" outlineLevel="0" collapsed="false">
      <c r="A8" s="131"/>
      <c r="B8" s="132" t="s">
        <v>351</v>
      </c>
      <c r="C8" s="133" t="s">
        <v>391</v>
      </c>
      <c r="D8" s="134" t="s">
        <v>392</v>
      </c>
      <c r="E8" s="132" t="s">
        <v>393</v>
      </c>
      <c r="F8" s="132" t="s">
        <v>385</v>
      </c>
      <c r="G8" s="135" t="s">
        <v>220</v>
      </c>
    </row>
    <row r="9" customFormat="false" ht="15.75" hidden="false" customHeight="true" outlineLevel="0" collapsed="false">
      <c r="A9" s="136" t="s">
        <v>394</v>
      </c>
      <c r="B9" s="137" t="n">
        <f aca="false">'Valuation output'!B3</f>
        <v>41871</v>
      </c>
      <c r="C9" s="138" t="n">
        <f aca="false">'Input sheet'!B26</f>
        <v>0.3</v>
      </c>
      <c r="D9" s="139" t="n">
        <f aca="false">'Input sheet'!B28</f>
        <v>0.05</v>
      </c>
      <c r="E9" s="139" t="s">
        <v>395</v>
      </c>
      <c r="F9" s="140" t="n">
        <f aca="false">'Valuation output'!M2</f>
        <v>0.0275</v>
      </c>
      <c r="G9" s="141" t="s">
        <v>219</v>
      </c>
      <c r="H9" s="142" t="s">
        <v>396</v>
      </c>
      <c r="I9" s="142"/>
      <c r="J9" s="142"/>
      <c r="K9" s="142"/>
    </row>
    <row r="10" customFormat="false" ht="33.75" hidden="false" customHeight="true" outlineLevel="0" collapsed="false">
      <c r="A10" s="136" t="s">
        <v>397</v>
      </c>
      <c r="B10" s="140" t="n">
        <f aca="false">'Valuation output'!B4</f>
        <v>0.118745671228296</v>
      </c>
      <c r="C10" s="138" t="n">
        <f aca="false">'Input sheet'!B27</f>
        <v>0.127</v>
      </c>
      <c r="D10" s="143" t="s">
        <v>398</v>
      </c>
      <c r="E10" s="144" t="n">
        <f aca="false">'Valuation output'!G4</f>
        <v>0.107</v>
      </c>
      <c r="F10" s="140" t="n">
        <f aca="false">'Valuation output'!M4</f>
        <v>0.107</v>
      </c>
      <c r="G10" s="145" t="s">
        <v>222</v>
      </c>
      <c r="H10" s="142"/>
      <c r="I10" s="142"/>
      <c r="J10" s="142"/>
      <c r="K10" s="142"/>
    </row>
    <row r="11" customFormat="false" ht="15.75" hidden="false" customHeight="true" outlineLevel="0" collapsed="false">
      <c r="A11" s="136" t="s">
        <v>356</v>
      </c>
      <c r="B11" s="140" t="n">
        <f aca="false">'Valuation output'!B6</f>
        <v>0.17</v>
      </c>
      <c r="C11" s="146"/>
      <c r="D11" s="139" t="n">
        <f aca="false">B11</f>
        <v>0.17</v>
      </c>
      <c r="E11" s="139" t="s">
        <v>395</v>
      </c>
      <c r="F11" s="140" t="n">
        <f aca="false">'Valuation output'!M6</f>
        <v>0.21</v>
      </c>
      <c r="G11" s="147" t="s">
        <v>224</v>
      </c>
      <c r="H11" s="142"/>
      <c r="I11" s="142"/>
      <c r="J11" s="142"/>
      <c r="K11" s="142"/>
    </row>
    <row r="12" customFormat="false" ht="15.75" hidden="false" customHeight="true" outlineLevel="0" collapsed="false">
      <c r="A12" s="136" t="s">
        <v>399</v>
      </c>
      <c r="B12" s="148"/>
      <c r="C12" s="149" t="n">
        <f aca="false">'Input sheet'!B31</f>
        <v>6</v>
      </c>
      <c r="D12" s="150" t="n">
        <f aca="false">'Input sheet'!B31</f>
        <v>6</v>
      </c>
      <c r="E12" s="151" t="n">
        <f aca="false">'Input sheet'!B32</f>
        <v>6</v>
      </c>
      <c r="F12" s="152" t="n">
        <f aca="false">'Valuation output'!M2/'Valuation output'!M40</f>
        <v>0.299564270152505</v>
      </c>
      <c r="G12" s="147" t="s">
        <v>226</v>
      </c>
      <c r="H12" s="142"/>
      <c r="I12" s="142"/>
      <c r="J12" s="142"/>
      <c r="K12" s="142"/>
    </row>
    <row r="13" customFormat="false" ht="15.75" hidden="false" customHeight="true" outlineLevel="0" collapsed="false">
      <c r="A13" s="153" t="s">
        <v>400</v>
      </c>
      <c r="B13" s="154" t="n">
        <f aca="false">'Valuation output'!B40</f>
        <v>0.1016343217417</v>
      </c>
      <c r="C13" s="140" t="s">
        <v>401</v>
      </c>
      <c r="D13" s="139" t="n">
        <f aca="false">Diagnostics!C27</f>
        <v>0.571986781568683</v>
      </c>
      <c r="E13" s="139"/>
      <c r="F13" s="155" t="n">
        <f aca="false">'Valuation output'!M40</f>
        <v>0.0918</v>
      </c>
      <c r="G13" s="156" t="s">
        <v>228</v>
      </c>
      <c r="H13" s="142"/>
      <c r="I13" s="142"/>
      <c r="J13" s="142"/>
      <c r="K13" s="142"/>
    </row>
    <row r="14" customFormat="false" ht="16.5" hidden="false" customHeight="true" outlineLevel="0" collapsed="false">
      <c r="A14" s="157" t="s">
        <v>402</v>
      </c>
      <c r="B14" s="158"/>
      <c r="C14" s="148"/>
      <c r="D14" s="143" t="n">
        <f aca="false">'Valuation output'!C12</f>
        <v>0.110612273738674</v>
      </c>
      <c r="E14" s="144"/>
      <c r="F14" s="159" t="n">
        <f aca="false">'Valuation output'!M12</f>
        <v>0.0918</v>
      </c>
      <c r="G14" s="160" t="s">
        <v>230</v>
      </c>
      <c r="H14" s="142"/>
      <c r="I14" s="142"/>
      <c r="J14" s="142"/>
      <c r="K14" s="142"/>
    </row>
    <row r="15" customFormat="false" ht="16.5" hidden="false" customHeight="true" outlineLevel="0" collapsed="false">
      <c r="A15" s="161" t="s">
        <v>403</v>
      </c>
      <c r="B15" s="161"/>
      <c r="C15" s="161"/>
      <c r="D15" s="161"/>
      <c r="E15" s="161"/>
      <c r="F15" s="161"/>
      <c r="G15" s="161"/>
    </row>
    <row r="16" customFormat="false" ht="15.75" hidden="false" customHeight="true" outlineLevel="0" collapsed="false">
      <c r="A16" s="162"/>
      <c r="B16" s="163" t="s">
        <v>250</v>
      </c>
      <c r="C16" s="163" t="s">
        <v>404</v>
      </c>
      <c r="D16" s="164" t="s">
        <v>405</v>
      </c>
      <c r="E16" s="164" t="s">
        <v>406</v>
      </c>
      <c r="F16" s="164" t="s">
        <v>407</v>
      </c>
      <c r="G16" s="165" t="s">
        <v>359</v>
      </c>
      <c r="H16" s="142" t="s">
        <v>408</v>
      </c>
      <c r="I16" s="142"/>
      <c r="J16" s="142"/>
      <c r="K16" s="142"/>
    </row>
    <row r="17" customFormat="false" ht="15.75" hidden="false" customHeight="true" outlineLevel="0" collapsed="false">
      <c r="A17" s="166" t="n">
        <v>1</v>
      </c>
      <c r="B17" s="137" t="n">
        <f aca="false">'Valuation output'!C3</f>
        <v>54432.3</v>
      </c>
      <c r="C17" s="140" t="n">
        <f aca="false">'Valuation output'!C4</f>
        <v>0.127</v>
      </c>
      <c r="D17" s="137" t="n">
        <f aca="false">B17*C17</f>
        <v>6912.9021</v>
      </c>
      <c r="E17" s="137" t="n">
        <f aca="false">'Valuation output'!C7</f>
        <v>5737.708743</v>
      </c>
      <c r="F17" s="137" t="n">
        <f aca="false">'Valuation output'!C8</f>
        <v>453.602500000001</v>
      </c>
      <c r="G17" s="167" t="n">
        <f aca="false">E17-F17</f>
        <v>5284.106243</v>
      </c>
      <c r="H17" s="142"/>
      <c r="I17" s="142"/>
      <c r="J17" s="142"/>
      <c r="K17" s="142"/>
    </row>
    <row r="18" customFormat="false" ht="15.75" hidden="false" customHeight="true" outlineLevel="0" collapsed="false">
      <c r="A18" s="166" t="n">
        <v>2</v>
      </c>
      <c r="B18" s="137" t="n">
        <f aca="false">'Valuation output'!D3</f>
        <v>57153.915</v>
      </c>
      <c r="C18" s="140" t="n">
        <f aca="false">'Valuation output'!D4</f>
        <v>0.113666666666667</v>
      </c>
      <c r="D18" s="137" t="n">
        <f aca="false">B18*C18</f>
        <v>6496.495005</v>
      </c>
      <c r="E18" s="137" t="n">
        <f aca="false">'Valuation output'!D7</f>
        <v>5392.09085415</v>
      </c>
      <c r="F18" s="137" t="n">
        <f aca="false">'Valuation output'!D8</f>
        <v>476.282625000001</v>
      </c>
      <c r="G18" s="167" t="n">
        <f aca="false">E18-F18</f>
        <v>4915.80822915</v>
      </c>
      <c r="H18" s="142"/>
      <c r="I18" s="142"/>
      <c r="J18" s="142"/>
      <c r="K18" s="142"/>
    </row>
    <row r="19" customFormat="false" ht="15.75" hidden="false" customHeight="true" outlineLevel="0" collapsed="false">
      <c r="A19" s="166" t="n">
        <v>3</v>
      </c>
      <c r="B19" s="137" t="n">
        <f aca="false">'Valuation output'!E3</f>
        <v>60011.61075</v>
      </c>
      <c r="C19" s="140" t="n">
        <f aca="false">'Valuation output'!E4</f>
        <v>0.107</v>
      </c>
      <c r="D19" s="137" t="n">
        <f aca="false">B19*C19</f>
        <v>6421.24235025</v>
      </c>
      <c r="E19" s="137" t="n">
        <f aca="false">'Valuation output'!E7</f>
        <v>5329.6311507075</v>
      </c>
      <c r="F19" s="137" t="n">
        <f aca="false">'Valuation output'!E8</f>
        <v>500.096756250001</v>
      </c>
      <c r="G19" s="167" t="n">
        <f aca="false">E19-F19</f>
        <v>4829.5343944575</v>
      </c>
      <c r="H19" s="142"/>
      <c r="I19" s="142"/>
      <c r="J19" s="142"/>
      <c r="K19" s="142"/>
    </row>
    <row r="20" customFormat="false" ht="15.75" hidden="false" customHeight="true" outlineLevel="0" collapsed="false">
      <c r="A20" s="166" t="n">
        <v>4</v>
      </c>
      <c r="B20" s="137" t="n">
        <f aca="false">'Valuation output'!F3</f>
        <v>63012.1912875</v>
      </c>
      <c r="C20" s="140" t="n">
        <f aca="false">'Valuation output'!F4</f>
        <v>0.107</v>
      </c>
      <c r="D20" s="137" t="n">
        <f aca="false">B20*C20</f>
        <v>6742.3044677625</v>
      </c>
      <c r="E20" s="137" t="n">
        <f aca="false">'Valuation output'!F7</f>
        <v>5596.11270824288</v>
      </c>
      <c r="F20" s="137" t="n">
        <f aca="false">'Valuation output'!F8</f>
        <v>525.101594062502</v>
      </c>
      <c r="G20" s="167" t="n">
        <f aca="false">E20-F20</f>
        <v>5071.01111418038</v>
      </c>
      <c r="H20" s="142"/>
      <c r="I20" s="142"/>
      <c r="J20" s="142"/>
      <c r="K20" s="142"/>
    </row>
    <row r="21" customFormat="false" ht="15.75" hidden="false" customHeight="true" outlineLevel="0" collapsed="false">
      <c r="A21" s="166" t="n">
        <v>5</v>
      </c>
      <c r="B21" s="137" t="n">
        <f aca="false">'Valuation output'!G3</f>
        <v>66162.800851875</v>
      </c>
      <c r="C21" s="140" t="n">
        <f aca="false">'Valuation output'!G4</f>
        <v>0.107</v>
      </c>
      <c r="D21" s="137" t="n">
        <f aca="false">B21*C21</f>
        <v>7079.41969115063</v>
      </c>
      <c r="E21" s="137" t="n">
        <f aca="false">'Valuation output'!G7</f>
        <v>5875.91834365502</v>
      </c>
      <c r="F21" s="137" t="n">
        <f aca="false">'Valuation output'!G8</f>
        <v>501.73457312672</v>
      </c>
      <c r="G21" s="167" t="n">
        <f aca="false">E21-F21</f>
        <v>5374.1837705283</v>
      </c>
      <c r="H21" s="142"/>
      <c r="I21" s="142"/>
      <c r="J21" s="142"/>
      <c r="K21" s="142"/>
    </row>
    <row r="22" customFormat="false" ht="15.75" hidden="false" customHeight="true" outlineLevel="0" collapsed="false">
      <c r="A22" s="166" t="n">
        <v>6</v>
      </c>
      <c r="B22" s="137" t="n">
        <f aca="false">'Valuation output'!H3</f>
        <v>69173.2082906354</v>
      </c>
      <c r="C22" s="140" t="n">
        <f aca="false">'Valuation output'!H4</f>
        <v>0.107</v>
      </c>
      <c r="D22" s="137" t="n">
        <f aca="false">B22*C22</f>
        <v>7401.53328709798</v>
      </c>
      <c r="E22" s="137" t="n">
        <f aca="false">'Valuation output'!H7</f>
        <v>6084.06036199454</v>
      </c>
      <c r="F22" s="137" t="n">
        <f aca="false">'Valuation output'!H8</f>
        <v>472.683589986006</v>
      </c>
      <c r="G22" s="167" t="n">
        <f aca="false">E22-F22</f>
        <v>5611.37677200854</v>
      </c>
      <c r="H22" s="142"/>
      <c r="I22" s="142"/>
      <c r="J22" s="142"/>
      <c r="K22" s="142"/>
    </row>
    <row r="23" customFormat="false" ht="15.75" hidden="false" customHeight="true" outlineLevel="0" collapsed="false">
      <c r="A23" s="166" t="n">
        <v>7</v>
      </c>
      <c r="B23" s="137" t="n">
        <f aca="false">'Valuation output'!I3</f>
        <v>72009.3098305514</v>
      </c>
      <c r="C23" s="140" t="n">
        <f aca="false">'Valuation output'!I4</f>
        <v>0.107</v>
      </c>
      <c r="D23" s="137" t="n">
        <f aca="false">B23*C23</f>
        <v>7704.996151869</v>
      </c>
      <c r="E23" s="137" t="n">
        <f aca="false">'Valuation output'!I7</f>
        <v>6271.86686762136</v>
      </c>
      <c r="F23" s="137" t="n">
        <f aca="false">'Valuation output'!I8</f>
        <v>438.056634802522</v>
      </c>
      <c r="G23" s="167" t="n">
        <f aca="false">E23-F23</f>
        <v>5833.81023281884</v>
      </c>
      <c r="H23" s="142"/>
      <c r="I23" s="142"/>
      <c r="J23" s="142"/>
      <c r="K23" s="142"/>
    </row>
    <row r="24" customFormat="false" ht="15.75" hidden="false" customHeight="true" outlineLevel="0" collapsed="false">
      <c r="A24" s="166" t="n">
        <v>8</v>
      </c>
      <c r="B24" s="137" t="n">
        <f aca="false">'Valuation output'!J3</f>
        <v>74637.6496393665</v>
      </c>
      <c r="C24" s="140" t="n">
        <f aca="false">'Valuation output'!J4</f>
        <v>0.107</v>
      </c>
      <c r="D24" s="137" t="n">
        <f aca="false">B24*C24</f>
        <v>7986.22851141222</v>
      </c>
      <c r="E24" s="137" t="n">
        <f aca="false">'Valuation output'!J7</f>
        <v>6436.90018019825</v>
      </c>
      <c r="F24" s="137" t="n">
        <f aca="false">'Valuation output'!J8</f>
        <v>398.067464743287</v>
      </c>
      <c r="G24" s="167" t="n">
        <f aca="false">E24-F24</f>
        <v>6038.83271545496</v>
      </c>
      <c r="H24" s="142"/>
      <c r="I24" s="142"/>
      <c r="J24" s="142"/>
      <c r="K24" s="142"/>
    </row>
    <row r="25" customFormat="false" ht="15.75" hidden="false" customHeight="true" outlineLevel="0" collapsed="false">
      <c r="A25" s="166" t="n">
        <v>9</v>
      </c>
      <c r="B25" s="137" t="n">
        <f aca="false">'Valuation output'!K3</f>
        <v>77026.0544278262</v>
      </c>
      <c r="C25" s="140" t="n">
        <f aca="false">'Valuation output'!K4</f>
        <v>0.107</v>
      </c>
      <c r="D25" s="137" t="n">
        <f aca="false">B25*C25</f>
        <v>8241.78782377741</v>
      </c>
      <c r="E25" s="137" t="n">
        <f aca="false">'Valuation output'!K7</f>
        <v>6576.94668337437</v>
      </c>
      <c r="F25" s="137" t="n">
        <f aca="false">'Valuation output'!K8</f>
        <v>353.036082794203</v>
      </c>
      <c r="G25" s="167" t="n">
        <f aca="false">E25-F25</f>
        <v>6223.91060058017</v>
      </c>
      <c r="H25" s="142"/>
      <c r="I25" s="142"/>
      <c r="J25" s="142"/>
      <c r="K25" s="142"/>
    </row>
    <row r="26" customFormat="false" ht="15.75" hidden="false" customHeight="true" outlineLevel="0" collapsed="false">
      <c r="A26" s="166" t="n">
        <v>10</v>
      </c>
      <c r="B26" s="137" t="n">
        <f aca="false">'Valuation output'!L3</f>
        <v>79144.2709245915</v>
      </c>
      <c r="C26" s="140" t="n">
        <f aca="false">'Valuation output'!L4</f>
        <v>0.107</v>
      </c>
      <c r="D26" s="137" t="n">
        <f aca="false">B26*C26</f>
        <v>8468.43698893129</v>
      </c>
      <c r="E26" s="137" t="n">
        <f aca="false">'Valuation output'!L7</f>
        <v>6690.06522125572</v>
      </c>
      <c r="F26" s="137" t="n">
        <f aca="false">'Valuation output'!L8</f>
        <v>362.744575071044</v>
      </c>
      <c r="G26" s="167" t="n">
        <f aca="false">E26-F26</f>
        <v>6327.32064618467</v>
      </c>
      <c r="H26" s="142"/>
      <c r="I26" s="142"/>
      <c r="J26" s="142"/>
      <c r="K26" s="142"/>
    </row>
    <row r="27" customFormat="false" ht="16.5" hidden="false" customHeight="true" outlineLevel="0" collapsed="false">
      <c r="A27" s="168" t="s">
        <v>352</v>
      </c>
      <c r="B27" s="169" t="n">
        <f aca="false">'Valuation output'!M3</f>
        <v>81320.7383750177</v>
      </c>
      <c r="C27" s="159" t="n">
        <f aca="false">'Valuation output'!M4</f>
        <v>0.107</v>
      </c>
      <c r="D27" s="137" t="n">
        <f aca="false">B27*C27</f>
        <v>8701.3190061269</v>
      </c>
      <c r="E27" s="169" t="n">
        <f aca="false">'Valuation output'!M7</f>
        <v>6874.04201484025</v>
      </c>
      <c r="F27" s="169" t="n">
        <f aca="false">'Valuation output'!M8</f>
        <v>2059.21737917328</v>
      </c>
      <c r="G27" s="167" t="n">
        <f aca="false">E27-F27</f>
        <v>4814.82463566697</v>
      </c>
      <c r="H27" s="142"/>
      <c r="I27" s="142"/>
      <c r="J27" s="142"/>
      <c r="K27" s="142"/>
    </row>
    <row r="28" customFormat="false" ht="16.5" hidden="false" customHeight="true" outlineLevel="0" collapsed="false">
      <c r="A28" s="161" t="s">
        <v>409</v>
      </c>
      <c r="B28" s="161"/>
      <c r="C28" s="161"/>
      <c r="D28" s="161"/>
      <c r="E28" s="161"/>
      <c r="F28" s="161"/>
      <c r="G28" s="161"/>
    </row>
    <row r="29" customFormat="false" ht="15.75" hidden="false" customHeight="true" outlineLevel="0" collapsed="false">
      <c r="A29" s="170" t="s">
        <v>365</v>
      </c>
      <c r="B29" s="170"/>
      <c r="C29" s="170"/>
      <c r="D29" s="171" t="n">
        <f aca="false">'Valuation output'!B18</f>
        <v>74880.6319699374</v>
      </c>
      <c r="E29" s="172"/>
      <c r="F29" s="173"/>
      <c r="G29" s="174"/>
      <c r="H29" s="175" t="s">
        <v>410</v>
      </c>
      <c r="I29" s="175"/>
      <c r="J29" s="175"/>
      <c r="K29" s="175"/>
    </row>
    <row r="30" customFormat="false" ht="15.75" hidden="false" customHeight="true" outlineLevel="0" collapsed="false">
      <c r="A30" s="176" t="s">
        <v>366</v>
      </c>
      <c r="B30" s="176"/>
      <c r="C30" s="176"/>
      <c r="D30" s="171" t="n">
        <f aca="false">'Valuation output'!B19</f>
        <v>27602.7435344256</v>
      </c>
      <c r="E30" s="177"/>
      <c r="F30" s="123"/>
      <c r="G30" s="178"/>
      <c r="H30" s="175"/>
      <c r="I30" s="175"/>
      <c r="J30" s="175"/>
      <c r="K30" s="175"/>
    </row>
    <row r="31" customFormat="false" ht="15.75" hidden="false" customHeight="true" outlineLevel="0" collapsed="false">
      <c r="A31" s="176" t="s">
        <v>367</v>
      </c>
      <c r="B31" s="176"/>
      <c r="C31" s="176"/>
      <c r="D31" s="171" t="n">
        <f aca="false">'Valuation output'!B20</f>
        <v>32110.3277525504</v>
      </c>
      <c r="E31" s="177"/>
      <c r="F31" s="123"/>
      <c r="G31" s="178"/>
      <c r="H31" s="175"/>
      <c r="I31" s="175"/>
      <c r="J31" s="175"/>
      <c r="K31" s="175"/>
    </row>
    <row r="32" customFormat="false" ht="15.75" hidden="false" customHeight="true" outlineLevel="0" collapsed="false">
      <c r="A32" s="176" t="s">
        <v>371</v>
      </c>
      <c r="B32" s="176"/>
      <c r="C32" s="176"/>
      <c r="D32" s="171" t="n">
        <f aca="false">'Valuation output'!B21</f>
        <v>59713.071286976</v>
      </c>
      <c r="E32" s="177"/>
      <c r="F32" s="123"/>
      <c r="G32" s="178"/>
      <c r="H32" s="175"/>
      <c r="I32" s="175"/>
      <c r="J32" s="175"/>
      <c r="K32" s="175"/>
    </row>
    <row r="33" customFormat="false" ht="15.75" hidden="false" customHeight="true" outlineLevel="0" collapsed="false">
      <c r="A33" s="176" t="s">
        <v>411</v>
      </c>
      <c r="B33" s="176"/>
      <c r="C33" s="176"/>
      <c r="D33" s="171" t="n">
        <f aca="false">D32-'Valuation output'!B24</f>
        <v>0</v>
      </c>
      <c r="E33" s="179" t="s">
        <v>369</v>
      </c>
      <c r="F33" s="179"/>
      <c r="G33" s="180" t="n">
        <f aca="false">'Valuation output'!B22</f>
        <v>0</v>
      </c>
      <c r="H33" s="175"/>
      <c r="I33" s="175"/>
      <c r="J33" s="175"/>
      <c r="K33" s="175"/>
    </row>
    <row r="34" customFormat="false" ht="15.75" hidden="false" customHeight="true" outlineLevel="0" collapsed="false">
      <c r="A34" s="176" t="s">
        <v>412</v>
      </c>
      <c r="B34" s="176"/>
      <c r="C34" s="176"/>
      <c r="D34" s="171" t="n">
        <f aca="false">'Valuation output'!B25+'Valuation output'!B26</f>
        <v>20306</v>
      </c>
      <c r="E34" s="177"/>
      <c r="F34" s="123"/>
      <c r="G34" s="178"/>
      <c r="H34" s="175"/>
      <c r="I34" s="175"/>
      <c r="J34" s="175"/>
      <c r="K34" s="175"/>
    </row>
    <row r="35" customFormat="false" ht="15.75" hidden="false" customHeight="true" outlineLevel="0" collapsed="false">
      <c r="A35" s="176" t="s">
        <v>413</v>
      </c>
      <c r="B35" s="176"/>
      <c r="C35" s="176"/>
      <c r="D35" s="171" t="n">
        <f aca="false">'Valuation output'!B27+'Valuation output'!B28</f>
        <v>6216</v>
      </c>
      <c r="E35" s="177"/>
      <c r="F35" s="123"/>
      <c r="G35" s="178"/>
      <c r="H35" s="175"/>
      <c r="I35" s="175"/>
      <c r="J35" s="175"/>
      <c r="K35" s="175"/>
    </row>
    <row r="36" customFormat="false" ht="15.75" hidden="false" customHeight="true" outlineLevel="0" collapsed="false">
      <c r="A36" s="176" t="s">
        <v>377</v>
      </c>
      <c r="B36" s="176"/>
      <c r="C36" s="176"/>
      <c r="D36" s="171" t="n">
        <f aca="false">D32-D33-D34+D35</f>
        <v>45623.071286976</v>
      </c>
      <c r="E36" s="177"/>
      <c r="F36" s="123"/>
      <c r="G36" s="178"/>
      <c r="H36" s="175"/>
      <c r="I36" s="175"/>
      <c r="J36" s="175"/>
      <c r="K36" s="175"/>
    </row>
    <row r="37" customFormat="false" ht="15.75" hidden="false" customHeight="true" outlineLevel="0" collapsed="false">
      <c r="A37" s="176" t="s">
        <v>414</v>
      </c>
      <c r="B37" s="176"/>
      <c r="C37" s="176"/>
      <c r="D37" s="171" t="n">
        <f aca="false">'Valuation output'!B30</f>
        <v>0</v>
      </c>
      <c r="E37" s="177"/>
      <c r="F37" s="123"/>
      <c r="G37" s="178"/>
      <c r="H37" s="175"/>
      <c r="I37" s="175"/>
      <c r="J37" s="175"/>
      <c r="K37" s="175"/>
    </row>
    <row r="38" customFormat="false" ht="16.5" hidden="false" customHeight="true" outlineLevel="0" collapsed="false">
      <c r="A38" s="181" t="s">
        <v>380</v>
      </c>
      <c r="B38" s="181"/>
      <c r="C38" s="181"/>
      <c r="D38" s="182" t="n">
        <f aca="false">'Valuation output'!B32</f>
        <v>1445.21</v>
      </c>
      <c r="G38" s="178"/>
      <c r="H38" s="175"/>
      <c r="I38" s="175"/>
      <c r="J38" s="175"/>
      <c r="K38" s="175"/>
    </row>
    <row r="39" customFormat="false" ht="16.5" hidden="false" customHeight="true" outlineLevel="0" collapsed="false">
      <c r="A39" s="183" t="s">
        <v>415</v>
      </c>
      <c r="B39" s="183"/>
      <c r="C39" s="183"/>
      <c r="D39" s="171" t="n">
        <f aca="false">(D36-D37)/D38</f>
        <v>31.5684719085642</v>
      </c>
      <c r="E39" s="184" t="s">
        <v>416</v>
      </c>
      <c r="F39" s="184"/>
      <c r="G39" s="185" t="n">
        <f aca="false">'Input sheet'!B22</f>
        <v>62.0900001525879</v>
      </c>
      <c r="H39" s="175"/>
      <c r="I39" s="175"/>
      <c r="J39" s="175"/>
      <c r="K39" s="175"/>
      <c r="M39" s="186"/>
    </row>
    <row r="40" customFormat="false" ht="15.75" hidden="false" customHeight="true" outlineLevel="0" collapsed="false">
      <c r="M40" s="187"/>
    </row>
  </sheetData>
  <mergeCells count="24">
    <mergeCell ref="A1:F1"/>
    <mergeCell ref="A2:G2"/>
    <mergeCell ref="A3:G6"/>
    <mergeCell ref="H3:K6"/>
    <mergeCell ref="A7:G7"/>
    <mergeCell ref="H9:K14"/>
    <mergeCell ref="D13:E13"/>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8"/>
  <sheetViews>
    <sheetView showFormulas="false" showGridLines="true" showRowColHeaders="true" showZeros="true" rightToLeft="false" tabSelected="false" showOutlineSymbols="true" defaultGridColor="true" view="normal" topLeftCell="A1" colorId="64" zoomScale="88" zoomScaleNormal="88" zoomScalePageLayoutView="100" workbookViewId="0">
      <selection pane="topLeft" activeCell="I47" activeCellId="0" sqref="I47"/>
    </sheetView>
  </sheetViews>
  <sheetFormatPr defaultColWidth="10.73046875" defaultRowHeight="13.5" customHeight="false" zeroHeight="false" outlineLevelRow="0" outlineLevelCol="0"/>
  <cols>
    <col collapsed="false" customWidth="true" hidden="false" outlineLevel="0" max="1" min="1" style="188" width="27.82"/>
    <col collapsed="false" customWidth="true" hidden="false" outlineLevel="0" max="2" min="2" style="188" width="13"/>
    <col collapsed="false" customWidth="true" hidden="false" outlineLevel="0" max="3" min="3" style="188" width="10.84"/>
    <col collapsed="false" customWidth="true" hidden="false" outlineLevel="0" max="4" min="4" style="188" width="16.18"/>
    <col collapsed="false" customWidth="true" hidden="false" outlineLevel="0" max="5" min="5" style="188" width="12.66"/>
    <col collapsed="false" customWidth="true" hidden="false" outlineLevel="0" max="10" min="6" style="188" width="11.5"/>
    <col collapsed="false" customWidth="true" hidden="false" outlineLevel="0" max="13" min="11" style="188" width="13"/>
    <col collapsed="false" customWidth="true" hidden="false" outlineLevel="0" max="14" min="14" style="188" width="13.66"/>
    <col collapsed="false" customWidth="true" hidden="false" outlineLevel="0" max="15" min="15" style="188" width="16"/>
    <col collapsed="false" customWidth="true" hidden="false" outlineLevel="0" max="16" min="16" style="188" width="10.84"/>
  </cols>
  <sheetData>
    <row r="1" s="190" customFormat="true" ht="13.5" hidden="false" customHeight="true" outlineLevel="0" collapsed="false">
      <c r="A1" s="189" t="s">
        <v>417</v>
      </c>
      <c r="B1" s="189"/>
      <c r="C1" s="189"/>
      <c r="D1" s="189"/>
      <c r="E1" s="189"/>
      <c r="F1" s="189"/>
      <c r="G1" s="189"/>
      <c r="H1" s="189"/>
      <c r="I1" s="189"/>
      <c r="J1" s="189"/>
      <c r="K1" s="189"/>
      <c r="L1" s="189"/>
      <c r="M1" s="189"/>
      <c r="N1" s="189"/>
      <c r="O1" s="189"/>
      <c r="P1" s="189"/>
    </row>
    <row r="2" s="190" customFormat="true" ht="15" hidden="false" customHeight="true" outlineLevel="0" collapsed="false">
      <c r="A2" s="189"/>
      <c r="B2" s="189"/>
      <c r="C2" s="189"/>
      <c r="D2" s="189"/>
      <c r="E2" s="189"/>
      <c r="F2" s="189"/>
      <c r="G2" s="189"/>
      <c r="H2" s="189"/>
      <c r="I2" s="189"/>
      <c r="J2" s="189"/>
      <c r="K2" s="189"/>
      <c r="L2" s="189"/>
      <c r="M2" s="189"/>
      <c r="N2" s="189"/>
      <c r="O2" s="189"/>
      <c r="P2" s="189"/>
    </row>
    <row r="3" customFormat="false" ht="16.5" hidden="false" customHeight="true" outlineLevel="0" collapsed="false">
      <c r="A3" s="191" t="str">
        <f aca="false">'Input sheet'!B4</f>
        <v>Hewlett Packard Enterprise</v>
      </c>
      <c r="B3" s="191"/>
      <c r="C3" s="191"/>
      <c r="D3" s="191"/>
      <c r="E3" s="191"/>
      <c r="F3" s="191"/>
      <c r="G3" s="191"/>
      <c r="H3" s="191"/>
      <c r="I3" s="191"/>
      <c r="J3" s="191"/>
      <c r="K3" s="191"/>
      <c r="L3" s="191"/>
      <c r="M3" s="191"/>
      <c r="N3" s="191"/>
      <c r="O3" s="192" t="n">
        <f aca="false">'Input sheet'!B3</f>
        <v>44814</v>
      </c>
      <c r="P3" s="192"/>
    </row>
    <row r="4" customFormat="false" ht="15" hidden="false" customHeight="true" outlineLevel="0" collapsed="false">
      <c r="A4" s="193"/>
      <c r="P4" s="194"/>
    </row>
    <row r="5" customFormat="false" ht="15" hidden="false" customHeight="true" outlineLevel="0" collapsed="false">
      <c r="A5" s="195" t="s">
        <v>418</v>
      </c>
      <c r="B5" s="195"/>
      <c r="C5" s="195"/>
      <c r="E5" s="196" t="s">
        <v>419</v>
      </c>
      <c r="F5" s="196"/>
      <c r="H5" s="196" t="s">
        <v>420</v>
      </c>
      <c r="I5" s="196"/>
      <c r="K5" s="196" t="s">
        <v>421</v>
      </c>
      <c r="L5" s="196"/>
      <c r="P5" s="194"/>
    </row>
    <row r="6" customFormat="false" ht="13.5" hidden="false" customHeight="true" outlineLevel="0" collapsed="false">
      <c r="A6" s="193"/>
      <c r="B6" s="197" t="s">
        <v>32</v>
      </c>
      <c r="C6" s="197" t="s">
        <v>422</v>
      </c>
      <c r="E6" s="198" t="str">
        <f aca="false">'Stories to Numbers'!G9</f>
        <v>AI backlog conversion, then mid-single-digit growth</v>
      </c>
      <c r="F6" s="198"/>
      <c r="H6" s="198" t="str">
        <f aca="false">'Stories to Numbers'!G10</f>
        <v>Networking mix vs AI systems and memory normalisation</v>
      </c>
      <c r="I6" s="198"/>
      <c r="K6" s="198" t="str">
        <f aca="false">'Stories to Numbers'!G12</f>
        <v>Low capital intensity outside Financial Services</v>
      </c>
      <c r="L6" s="198"/>
      <c r="O6" s="199" t="s">
        <v>423</v>
      </c>
      <c r="P6" s="199"/>
    </row>
    <row r="7" customFormat="false" ht="13.5" hidden="false" customHeight="true" outlineLevel="0" collapsed="false">
      <c r="A7" s="200" t="s">
        <v>424</v>
      </c>
      <c r="B7" s="201" t="n">
        <f aca="false">'Input sheet'!I25</f>
        <v>0.304847677663613</v>
      </c>
      <c r="C7" s="201" t="n">
        <f aca="false">'Input sheet'!K25</f>
        <v>0.0326914126394052</v>
      </c>
      <c r="E7" s="198"/>
      <c r="F7" s="198"/>
      <c r="H7" s="198"/>
      <c r="I7" s="198"/>
      <c r="K7" s="198"/>
      <c r="L7" s="198"/>
      <c r="O7" s="202" t="s">
        <v>425</v>
      </c>
      <c r="P7" s="203" t="n">
        <f aca="false">O16</f>
        <v>0.0275</v>
      </c>
    </row>
    <row r="8" customFormat="false" ht="13.5" hidden="false" customHeight="true" outlineLevel="0" collapsed="false">
      <c r="A8" s="200" t="s">
        <v>426</v>
      </c>
      <c r="B8" s="204" t="n">
        <f aca="false">'Valuation output'!B3</f>
        <v>41871</v>
      </c>
      <c r="E8" s="198"/>
      <c r="F8" s="198"/>
      <c r="H8" s="198"/>
      <c r="I8" s="198"/>
      <c r="K8" s="198"/>
      <c r="L8" s="198"/>
      <c r="O8" s="202" t="s">
        <v>15</v>
      </c>
      <c r="P8" s="203" t="n">
        <f aca="false">'Valuation output'!M12</f>
        <v>0.0918</v>
      </c>
    </row>
    <row r="9" customFormat="false" ht="13.5" hidden="false" customHeight="true" outlineLevel="0" collapsed="false">
      <c r="A9" s="200" t="s">
        <v>404</v>
      </c>
      <c r="B9" s="201" t="n">
        <f aca="false">'Valuation output'!B4</f>
        <v>0.118745671228296</v>
      </c>
      <c r="C9" s="201" t="n">
        <f aca="false">'Input sheet'!K26</f>
        <v>0.126116126089593</v>
      </c>
      <c r="E9" s="198"/>
      <c r="F9" s="198"/>
      <c r="H9" s="198"/>
      <c r="I9" s="198"/>
      <c r="K9" s="198"/>
      <c r="L9" s="198"/>
      <c r="O9" s="202" t="s">
        <v>400</v>
      </c>
      <c r="P9" s="203" t="n">
        <f aca="false">'Valuation output'!M40</f>
        <v>0.0918</v>
      </c>
    </row>
    <row r="10" customFormat="false" ht="13.5" hidden="false" customHeight="true" outlineLevel="0" collapsed="false">
      <c r="A10" s="200" t="s">
        <v>427</v>
      </c>
      <c r="B10" s="204" t="n">
        <f aca="false">'Valuation output'!B5</f>
        <v>4972</v>
      </c>
      <c r="E10" s="198"/>
      <c r="F10" s="198"/>
      <c r="H10" s="198"/>
      <c r="I10" s="198"/>
      <c r="K10" s="198"/>
      <c r="L10" s="198"/>
      <c r="O10" s="202" t="s">
        <v>428</v>
      </c>
      <c r="P10" s="203" t="n">
        <f aca="false">P7/P9</f>
        <v>0.299564270152505</v>
      </c>
    </row>
    <row r="11" customFormat="false" ht="13.5" hidden="false" customHeight="true" outlineLevel="0" collapsed="false">
      <c r="A11" s="200" t="s">
        <v>406</v>
      </c>
      <c r="B11" s="204" t="n">
        <f aca="false">'Valuation output'!B7</f>
        <v>4126.76</v>
      </c>
      <c r="E11" s="198"/>
      <c r="F11" s="198"/>
      <c r="H11" s="198"/>
      <c r="I11" s="198"/>
      <c r="K11" s="198"/>
      <c r="L11" s="198"/>
      <c r="P11" s="205"/>
    </row>
    <row r="12" customFormat="false" ht="13.5" hidden="false" customHeight="true" outlineLevel="0" collapsed="false">
      <c r="A12" s="193"/>
      <c r="E12" s="198"/>
      <c r="F12" s="198"/>
      <c r="H12" s="198"/>
      <c r="I12" s="198"/>
      <c r="K12" s="198"/>
      <c r="L12" s="198"/>
      <c r="P12" s="205"/>
    </row>
    <row r="13" customFormat="false" ht="13.5" hidden="false" customHeight="true" outlineLevel="0" collapsed="false">
      <c r="A13" s="193"/>
      <c r="P13" s="205"/>
    </row>
    <row r="14" customFormat="false" ht="15" hidden="false" customHeight="true" outlineLevel="0" collapsed="false">
      <c r="A14" s="193"/>
      <c r="P14" s="194"/>
    </row>
    <row r="15" customFormat="false" ht="13.5" hidden="false" customHeight="true" outlineLevel="0" collapsed="false">
      <c r="A15" s="206" t="str">
        <f aca="false">'Valuation output'!A19</f>
        <v>PV(Terminal value)</v>
      </c>
      <c r="B15" s="207" t="n">
        <f aca="false">'Valuation output'!B19</f>
        <v>27602.7435344256</v>
      </c>
      <c r="D15" s="202"/>
      <c r="E15" s="208" t="n">
        <f aca="false">'Valuation output'!C1</f>
        <v>1</v>
      </c>
      <c r="F15" s="208" t="n">
        <f aca="false">'Valuation output'!D1</f>
        <v>2</v>
      </c>
      <c r="G15" s="208" t="n">
        <f aca="false">'Valuation output'!E1</f>
        <v>3</v>
      </c>
      <c r="H15" s="208" t="n">
        <f aca="false">'Valuation output'!F1</f>
        <v>4</v>
      </c>
      <c r="I15" s="208" t="n">
        <f aca="false">'Valuation output'!G1</f>
        <v>5</v>
      </c>
      <c r="J15" s="208" t="n">
        <f aca="false">'Valuation output'!H1</f>
        <v>6</v>
      </c>
      <c r="K15" s="208" t="n">
        <f aca="false">'Valuation output'!I1</f>
        <v>7</v>
      </c>
      <c r="L15" s="208" t="n">
        <f aca="false">'Valuation output'!J1</f>
        <v>8</v>
      </c>
      <c r="M15" s="208" t="n">
        <f aca="false">'Valuation output'!K1</f>
        <v>9</v>
      </c>
      <c r="N15" s="208" t="n">
        <f aca="false">'Valuation output'!L1</f>
        <v>10</v>
      </c>
      <c r="O15" s="209" t="str">
        <f aca="false">'Valuation output'!M1</f>
        <v>Terminal year</v>
      </c>
      <c r="P15" s="210"/>
    </row>
    <row r="16" customFormat="false" ht="13.5" hidden="false" customHeight="true" outlineLevel="0" collapsed="false">
      <c r="A16" s="211" t="str">
        <f aca="false">'Valuation output'!A20</f>
        <v>PV (CF over next 10 years)</v>
      </c>
      <c r="B16" s="212" t="n">
        <f aca="false">'Valuation output'!B20</f>
        <v>32110.3277525504</v>
      </c>
      <c r="D16" s="202" t="s">
        <v>424</v>
      </c>
      <c r="E16" s="201" t="n">
        <f aca="false">'Valuation output'!C2</f>
        <v>0.3</v>
      </c>
      <c r="F16" s="201" t="n">
        <f aca="false">'Valuation output'!D2</f>
        <v>0.05</v>
      </c>
      <c r="G16" s="201" t="n">
        <f aca="false">'Valuation output'!E2</f>
        <v>0.05</v>
      </c>
      <c r="H16" s="201" t="n">
        <f aca="false">'Valuation output'!F2</f>
        <v>0.05</v>
      </c>
      <c r="I16" s="201" t="n">
        <f aca="false">'Valuation output'!G2</f>
        <v>0.05</v>
      </c>
      <c r="J16" s="201" t="n">
        <f aca="false">'Valuation output'!H2</f>
        <v>0.0455</v>
      </c>
      <c r="K16" s="201" t="n">
        <f aca="false">'Valuation output'!I2</f>
        <v>0.041</v>
      </c>
      <c r="L16" s="201" t="n">
        <f aca="false">'Valuation output'!J2</f>
        <v>0.0365</v>
      </c>
      <c r="M16" s="201" t="n">
        <f aca="false">'Valuation output'!K2</f>
        <v>0.032</v>
      </c>
      <c r="N16" s="201" t="n">
        <f aca="false">'Valuation output'!L2</f>
        <v>0.0275</v>
      </c>
      <c r="O16" s="213" t="n">
        <f aca="false">'Valuation output'!M2</f>
        <v>0.0275</v>
      </c>
      <c r="P16" s="194"/>
    </row>
    <row r="17" customFormat="false" ht="13.5" hidden="false" customHeight="true" outlineLevel="0" collapsed="false">
      <c r="A17" s="214" t="str">
        <f aca="false">'Valuation output'!A22</f>
        <v>Probability of failure =</v>
      </c>
      <c r="B17" s="215" t="n">
        <f aca="false">'Valuation output'!B22</f>
        <v>0</v>
      </c>
      <c r="D17" s="202" t="s">
        <v>426</v>
      </c>
      <c r="E17" s="216" t="n">
        <f aca="false">'Valuation output'!C3</f>
        <v>54432.3</v>
      </c>
      <c r="F17" s="216" t="n">
        <f aca="false">'Valuation output'!D3</f>
        <v>57153.915</v>
      </c>
      <c r="G17" s="216" t="n">
        <f aca="false">'Valuation output'!E3</f>
        <v>60011.61075</v>
      </c>
      <c r="H17" s="216" t="n">
        <f aca="false">'Valuation output'!F3</f>
        <v>63012.1912875</v>
      </c>
      <c r="I17" s="216" t="n">
        <f aca="false">'Valuation output'!G3</f>
        <v>66162.800851875</v>
      </c>
      <c r="J17" s="216" t="n">
        <f aca="false">'Valuation output'!H3</f>
        <v>69173.2082906354</v>
      </c>
      <c r="K17" s="216" t="n">
        <f aca="false">'Valuation output'!I3</f>
        <v>72009.3098305514</v>
      </c>
      <c r="L17" s="216" t="n">
        <f aca="false">'Valuation output'!J3</f>
        <v>74637.6496393665</v>
      </c>
      <c r="M17" s="216" t="n">
        <f aca="false">'Valuation output'!K3</f>
        <v>77026.0544278262</v>
      </c>
      <c r="N17" s="216" t="n">
        <f aca="false">'Valuation output'!L3</f>
        <v>79144.2709245915</v>
      </c>
      <c r="O17" s="217" t="n">
        <f aca="false">'Valuation output'!M3</f>
        <v>81320.7383750177</v>
      </c>
      <c r="P17" s="194"/>
    </row>
    <row r="18" customFormat="false" ht="13.5" hidden="false" customHeight="true" outlineLevel="0" collapsed="false">
      <c r="A18" s="211" t="str">
        <f aca="false">'Valuation output'!A24</f>
        <v>Value of operating assets =</v>
      </c>
      <c r="B18" s="218" t="n">
        <f aca="false">'Valuation output'!B24</f>
        <v>59713.071286976</v>
      </c>
      <c r="D18" s="202" t="s">
        <v>404</v>
      </c>
      <c r="E18" s="201" t="n">
        <f aca="false">'Valuation output'!C4</f>
        <v>0.127</v>
      </c>
      <c r="F18" s="201" t="n">
        <f aca="false">'Valuation output'!D4</f>
        <v>0.113666666666667</v>
      </c>
      <c r="G18" s="201" t="n">
        <f aca="false">'Valuation output'!E4</f>
        <v>0.107</v>
      </c>
      <c r="H18" s="201" t="n">
        <f aca="false">'Valuation output'!F4</f>
        <v>0.107</v>
      </c>
      <c r="I18" s="201" t="n">
        <f aca="false">'Valuation output'!G4</f>
        <v>0.107</v>
      </c>
      <c r="J18" s="201" t="n">
        <f aca="false">'Valuation output'!H4</f>
        <v>0.107</v>
      </c>
      <c r="K18" s="201" t="n">
        <f aca="false">'Valuation output'!I4</f>
        <v>0.107</v>
      </c>
      <c r="L18" s="201" t="n">
        <f aca="false">'Valuation output'!J4</f>
        <v>0.107</v>
      </c>
      <c r="M18" s="201" t="n">
        <f aca="false">'Valuation output'!K4</f>
        <v>0.107</v>
      </c>
      <c r="N18" s="201" t="n">
        <f aca="false">'Valuation output'!L4</f>
        <v>0.107</v>
      </c>
      <c r="O18" s="213" t="n">
        <f aca="false">'Valuation output'!M4</f>
        <v>0.107</v>
      </c>
      <c r="P18" s="194"/>
    </row>
    <row r="19" customFormat="false" ht="13.5" hidden="false" customHeight="true" outlineLevel="0" collapsed="false">
      <c r="A19" s="211" t="str">
        <f aca="false">'Valuation output'!A25</f>
        <v> - Debt</v>
      </c>
      <c r="B19" s="218" t="n">
        <f aca="false">'Valuation output'!B25</f>
        <v>20244</v>
      </c>
      <c r="D19" s="202" t="s">
        <v>427</v>
      </c>
      <c r="E19" s="216" t="n">
        <f aca="false">'Valuation output'!C5</f>
        <v>6912.9021</v>
      </c>
      <c r="F19" s="216" t="n">
        <f aca="false">'Valuation output'!D5</f>
        <v>6496.495005</v>
      </c>
      <c r="G19" s="216" t="n">
        <f aca="false">'Valuation output'!E5</f>
        <v>6421.24235025</v>
      </c>
      <c r="H19" s="216" t="n">
        <f aca="false">'Valuation output'!F5</f>
        <v>6742.3044677625</v>
      </c>
      <c r="I19" s="216" t="n">
        <f aca="false">'Valuation output'!G5</f>
        <v>7079.41969115063</v>
      </c>
      <c r="J19" s="216" t="n">
        <f aca="false">'Valuation output'!H5</f>
        <v>7401.53328709798</v>
      </c>
      <c r="K19" s="216" t="n">
        <f aca="false">'Valuation output'!I5</f>
        <v>7704.996151869</v>
      </c>
      <c r="L19" s="216" t="n">
        <f aca="false">'Valuation output'!J5</f>
        <v>7986.22851141222</v>
      </c>
      <c r="M19" s="216" t="n">
        <f aca="false">'Valuation output'!K5</f>
        <v>8241.78782377741</v>
      </c>
      <c r="N19" s="216" t="n">
        <f aca="false">'Valuation output'!L5</f>
        <v>8468.43698893129</v>
      </c>
      <c r="O19" s="217" t="n">
        <f aca="false">'Valuation output'!M5</f>
        <v>8701.3190061269</v>
      </c>
      <c r="P19" s="194"/>
    </row>
    <row r="20" customFormat="false" ht="13.5" hidden="false" customHeight="true" outlineLevel="0" collapsed="false">
      <c r="A20" s="211" t="str">
        <f aca="false">'Valuation output'!A26</f>
        <v> - Minority interests</v>
      </c>
      <c r="B20" s="218" t="n">
        <f aca="false">'Valuation output'!B26</f>
        <v>62</v>
      </c>
      <c r="D20" s="202" t="s">
        <v>406</v>
      </c>
      <c r="E20" s="216" t="n">
        <f aca="false">'Valuation output'!C7</f>
        <v>5737.708743</v>
      </c>
      <c r="F20" s="216" t="n">
        <f aca="false">'Valuation output'!D7</f>
        <v>5392.09085415</v>
      </c>
      <c r="G20" s="216" t="n">
        <f aca="false">'Valuation output'!E7</f>
        <v>5329.6311507075</v>
      </c>
      <c r="H20" s="216" t="n">
        <f aca="false">'Valuation output'!F7</f>
        <v>5596.11270824288</v>
      </c>
      <c r="I20" s="216" t="n">
        <f aca="false">'Valuation output'!G7</f>
        <v>5875.91834365502</v>
      </c>
      <c r="J20" s="216" t="n">
        <f aca="false">'Valuation output'!H7</f>
        <v>6084.06036199454</v>
      </c>
      <c r="K20" s="216" t="n">
        <f aca="false">'Valuation output'!I7</f>
        <v>6271.86686762136</v>
      </c>
      <c r="L20" s="216" t="n">
        <f aca="false">'Valuation output'!J7</f>
        <v>6436.90018019825</v>
      </c>
      <c r="M20" s="216" t="n">
        <f aca="false">'Valuation output'!K7</f>
        <v>6576.94668337437</v>
      </c>
      <c r="N20" s="216" t="n">
        <f aca="false">'Valuation output'!L7</f>
        <v>6690.06522125572</v>
      </c>
      <c r="O20" s="217" t="n">
        <f aca="false">'Valuation output'!M7</f>
        <v>6874.04201484025</v>
      </c>
      <c r="P20" s="194"/>
    </row>
    <row r="21" customFormat="false" ht="13.5" hidden="false" customHeight="true" outlineLevel="0" collapsed="false">
      <c r="A21" s="211" t="str">
        <f aca="false">'Valuation output'!A27</f>
        <v> +  Cash</v>
      </c>
      <c r="B21" s="218" t="n">
        <f aca="false">'Valuation output'!B27</f>
        <v>6216</v>
      </c>
      <c r="D21" s="202" t="s">
        <v>429</v>
      </c>
      <c r="E21" s="216" t="n">
        <f aca="false">'Valuation output'!C8</f>
        <v>453.602500000001</v>
      </c>
      <c r="F21" s="216" t="n">
        <f aca="false">'Valuation output'!D8</f>
        <v>476.282625000001</v>
      </c>
      <c r="G21" s="216" t="n">
        <f aca="false">'Valuation output'!E8</f>
        <v>500.096756250001</v>
      </c>
      <c r="H21" s="216" t="n">
        <f aca="false">'Valuation output'!F8</f>
        <v>525.101594062502</v>
      </c>
      <c r="I21" s="216" t="n">
        <f aca="false">'Valuation output'!G8</f>
        <v>501.73457312672</v>
      </c>
      <c r="J21" s="216" t="n">
        <f aca="false">'Valuation output'!H8</f>
        <v>472.683589986006</v>
      </c>
      <c r="K21" s="216" t="n">
        <f aca="false">'Valuation output'!I8</f>
        <v>438.056634802522</v>
      </c>
      <c r="L21" s="216" t="n">
        <f aca="false">'Valuation output'!J8</f>
        <v>398.067464743287</v>
      </c>
      <c r="M21" s="216" t="n">
        <f aca="false">'Valuation output'!K8</f>
        <v>353.036082794203</v>
      </c>
      <c r="N21" s="216" t="n">
        <f aca="false">'Valuation output'!L8</f>
        <v>362.744575071044</v>
      </c>
      <c r="O21" s="217" t="n">
        <f aca="false">'Valuation output'!M8</f>
        <v>2059.21737917328</v>
      </c>
      <c r="P21" s="194"/>
    </row>
    <row r="22" customFormat="false" ht="13.5" hidden="false" customHeight="true" outlineLevel="0" collapsed="false">
      <c r="A22" s="211" t="str">
        <f aca="false">'Valuation output'!A28</f>
        <v> + Non-operating assets</v>
      </c>
      <c r="B22" s="218" t="n">
        <f aca="false">'Valuation output'!B28</f>
        <v>0</v>
      </c>
      <c r="D22" s="219" t="s">
        <v>359</v>
      </c>
      <c r="E22" s="217" t="n">
        <f aca="false">'Valuation output'!C9</f>
        <v>5284.106243</v>
      </c>
      <c r="F22" s="217" t="n">
        <f aca="false">'Valuation output'!D9</f>
        <v>4915.80822915</v>
      </c>
      <c r="G22" s="217" t="n">
        <f aca="false">'Valuation output'!E9</f>
        <v>4829.5343944575</v>
      </c>
      <c r="H22" s="217" t="n">
        <f aca="false">'Valuation output'!F9</f>
        <v>5071.01111418038</v>
      </c>
      <c r="I22" s="217" t="n">
        <f aca="false">'Valuation output'!G9</f>
        <v>5374.1837705283</v>
      </c>
      <c r="J22" s="217" t="n">
        <f aca="false">'Valuation output'!H9</f>
        <v>5611.37677200854</v>
      </c>
      <c r="K22" s="217" t="n">
        <f aca="false">'Valuation output'!I9</f>
        <v>5833.81023281884</v>
      </c>
      <c r="L22" s="217" t="n">
        <f aca="false">'Valuation output'!J9</f>
        <v>6038.83271545496</v>
      </c>
      <c r="M22" s="217" t="n">
        <f aca="false">'Valuation output'!K9</f>
        <v>6223.91060058017</v>
      </c>
      <c r="N22" s="217" t="n">
        <f aca="false">'Valuation output'!L9</f>
        <v>6327.32064618467</v>
      </c>
      <c r="O22" s="217" t="n">
        <f aca="false">'Valuation output'!M9</f>
        <v>4814.82463566697</v>
      </c>
      <c r="P22" s="194"/>
    </row>
    <row r="23" customFormat="false" ht="13.5" hidden="false" customHeight="true" outlineLevel="0" collapsed="false">
      <c r="A23" s="211" t="str">
        <f aca="false">'Valuation output'!A29</f>
        <v>Value of equity</v>
      </c>
      <c r="B23" s="218" t="n">
        <f aca="false">'Valuation output'!B29</f>
        <v>45623.071286976</v>
      </c>
      <c r="N23" s="220" t="n">
        <f aca="false">'Valuation output'!B18</f>
        <v>74880.6319699374</v>
      </c>
      <c r="P23" s="194"/>
    </row>
    <row r="24" customFormat="false" ht="13.5" hidden="false" customHeight="true" outlineLevel="0" collapsed="false">
      <c r="A24" s="211" t="str">
        <f aca="false">'Valuation output'!A30</f>
        <v> - Value of options</v>
      </c>
      <c r="B24" s="218" t="n">
        <f aca="false">'Valuation output'!B30</f>
        <v>0</v>
      </c>
      <c r="P24" s="194"/>
    </row>
    <row r="25" customFormat="false" ht="13.5" hidden="false" customHeight="true" outlineLevel="0" collapsed="false">
      <c r="A25" s="211" t="str">
        <f aca="false">'Valuation output'!A31</f>
        <v>Value of equity in common stock</v>
      </c>
      <c r="B25" s="218" t="n">
        <f aca="false">'Valuation output'!B31</f>
        <v>45623.071286976</v>
      </c>
      <c r="D25" s="219" t="s">
        <v>430</v>
      </c>
      <c r="E25" s="213" t="n">
        <f aca="false">'Valuation output'!C12</f>
        <v>0.110612273738674</v>
      </c>
      <c r="F25" s="213" t="n">
        <f aca="false">'Valuation output'!D12</f>
        <v>0.110612273738674</v>
      </c>
      <c r="G25" s="213" t="n">
        <f aca="false">'Valuation output'!E12</f>
        <v>0.110612273738674</v>
      </c>
      <c r="H25" s="213" t="n">
        <f aca="false">'Valuation output'!F12</f>
        <v>0.110612273738674</v>
      </c>
      <c r="I25" s="213" t="n">
        <f aca="false">'Valuation output'!G12</f>
        <v>0.110612273738674</v>
      </c>
      <c r="J25" s="213" t="n">
        <f aca="false">'Valuation output'!H12</f>
        <v>0.10684981899094</v>
      </c>
      <c r="K25" s="213" t="n">
        <f aca="false">'Valuation output'!I12</f>
        <v>0.103087364243205</v>
      </c>
      <c r="L25" s="213" t="n">
        <f aca="false">'Valuation output'!J12</f>
        <v>0.0993249094954698</v>
      </c>
      <c r="M25" s="213" t="n">
        <f aca="false">'Valuation output'!K12</f>
        <v>0.0955624547477349</v>
      </c>
      <c r="N25" s="213" t="n">
        <f aca="false">'Valuation output'!L12</f>
        <v>0.0918</v>
      </c>
      <c r="O25" s="221"/>
      <c r="P25" s="194"/>
    </row>
    <row r="26" customFormat="false" ht="13.5" hidden="false" customHeight="true" outlineLevel="0" collapsed="false">
      <c r="A26" s="222" t="str">
        <f aca="false">'Valuation output'!A32</f>
        <v>Number of shares</v>
      </c>
      <c r="B26" s="223" t="n">
        <f aca="false">'Valuation output'!B32</f>
        <v>1445.21</v>
      </c>
      <c r="D26" s="202" t="s">
        <v>431</v>
      </c>
      <c r="E26" s="224" t="n">
        <f aca="false">'Valuation output'!C13</f>
        <v>0.900404239756582</v>
      </c>
      <c r="F26" s="224" t="n">
        <f aca="false">'Valuation output'!D13</f>
        <v>0.810727794971628</v>
      </c>
      <c r="G26" s="224" t="n">
        <f aca="false">'Valuation output'!E13</f>
        <v>0.729982743880959</v>
      </c>
      <c r="H26" s="224" t="n">
        <f aca="false">'Valuation output'!F13</f>
        <v>0.657279557539558</v>
      </c>
      <c r="I26" s="224" t="n">
        <f aca="false">'Valuation output'!G13</f>
        <v>0.591817300313948</v>
      </c>
      <c r="J26" s="224" t="n">
        <f aca="false">'Valuation output'!H13</f>
        <v>0.53468617888331</v>
      </c>
      <c r="K26" s="224" t="n">
        <f aca="false">'Valuation output'!I13</f>
        <v>0.484717889276288</v>
      </c>
      <c r="L26" s="224" t="n">
        <f aca="false">'Valuation output'!J13</f>
        <v>0.440923229419723</v>
      </c>
      <c r="M26" s="224" t="n">
        <f aca="false">'Valuation output'!K13</f>
        <v>0.402462887906514</v>
      </c>
      <c r="N26" s="224" t="n">
        <f aca="false">'Valuation output'!L13</f>
        <v>0.368623271575851</v>
      </c>
      <c r="P26" s="194"/>
    </row>
    <row r="27" customFormat="false" ht="13.5" hidden="false" customHeight="true" outlineLevel="0" collapsed="false">
      <c r="A27" s="225" t="str">
        <f aca="false">'Valuation output'!A33</f>
        <v>Estimated value /share</v>
      </c>
      <c r="B27" s="226" t="n">
        <f aca="false">'Valuation output'!B33</f>
        <v>31.5684719085642</v>
      </c>
      <c r="P27" s="194"/>
    </row>
    <row r="28" customFormat="false" ht="13.5" hidden="false" customHeight="true" outlineLevel="0" collapsed="false">
      <c r="A28" s="227"/>
      <c r="B28" s="228"/>
      <c r="D28" s="219" t="s">
        <v>432</v>
      </c>
      <c r="E28" s="229" t="n">
        <f aca="false">'Valuation output'!C38</f>
        <v>6</v>
      </c>
      <c r="F28" s="229" t="n">
        <f aca="false">'Valuation output'!D38</f>
        <v>6</v>
      </c>
      <c r="G28" s="229" t="n">
        <f aca="false">'Valuation output'!E38</f>
        <v>6</v>
      </c>
      <c r="H28" s="229" t="n">
        <f aca="false">'Valuation output'!F38</f>
        <v>6</v>
      </c>
      <c r="I28" s="229" t="n">
        <f aca="false">'Valuation output'!G38</f>
        <v>6</v>
      </c>
      <c r="J28" s="229" t="n">
        <f aca="false">'Valuation output'!H38</f>
        <v>6</v>
      </c>
      <c r="K28" s="229" t="n">
        <f aca="false">'Valuation output'!I38</f>
        <v>6</v>
      </c>
      <c r="L28" s="229" t="n">
        <f aca="false">'Valuation output'!J38</f>
        <v>6</v>
      </c>
      <c r="M28" s="229" t="n">
        <f aca="false">'Valuation output'!K38</f>
        <v>6</v>
      </c>
      <c r="N28" s="229" t="n">
        <f aca="false">'Valuation output'!L38</f>
        <v>6</v>
      </c>
      <c r="P28" s="194"/>
    </row>
    <row r="29" customFormat="false" ht="13.5" hidden="false" customHeight="true" outlineLevel="0" collapsed="false">
      <c r="A29" s="211" t="s">
        <v>433</v>
      </c>
      <c r="B29" s="230" t="n">
        <f aca="false">'Stories to Numbers'!G39</f>
        <v>62.0900001525879</v>
      </c>
      <c r="D29" s="202" t="s">
        <v>388</v>
      </c>
      <c r="E29" s="201" t="n">
        <f aca="false">'Valuation output'!C40</f>
        <v>0.141308953378977</v>
      </c>
      <c r="F29" s="201" t="n">
        <f aca="false">'Valuation output'!D40</f>
        <v>0.131329900574443</v>
      </c>
      <c r="G29" s="201" t="n">
        <f aca="false">'Valuation output'!E40</f>
        <v>0.12832007250628</v>
      </c>
      <c r="H29" s="201" t="n">
        <f aca="false">'Valuation output'!F40</f>
        <v>0.133133061817756</v>
      </c>
      <c r="I29" s="201" t="n">
        <f aca="false">'Valuation output'!G40</f>
        <v>0.138064964370379</v>
      </c>
      <c r="J29" s="201" t="n">
        <f aca="false">'Valuation output'!H40</f>
        <v>0.141289939154211</v>
      </c>
      <c r="K29" s="201" t="n">
        <f aca="false">'Valuation output'!I40</f>
        <v>0.144069891728752</v>
      </c>
      <c r="L29" s="201" t="n">
        <f aca="false">'Valuation output'!J40</f>
        <v>0.146387811416667</v>
      </c>
      <c r="M29" s="201" t="n">
        <f aca="false">'Valuation output'!K40</f>
        <v>0.148230835261382</v>
      </c>
      <c r="N29" s="201" t="n">
        <f aca="false">'Valuation output'!L40</f>
        <v>0.149590050075003</v>
      </c>
      <c r="O29" s="201" t="n">
        <f aca="false">'Valuation output'!M40</f>
        <v>0.0918</v>
      </c>
      <c r="P29" s="194"/>
    </row>
    <row r="30" customFormat="false" ht="13.5" hidden="false" customHeight="true" outlineLevel="0" collapsed="false">
      <c r="A30" s="211" t="s">
        <v>434</v>
      </c>
      <c r="B30" s="213" t="n">
        <f aca="false">B29/B27-1</f>
        <v>0.966835782626007</v>
      </c>
      <c r="P30" s="194"/>
    </row>
    <row r="31" customFormat="false" ht="15" hidden="false" customHeight="true" outlineLevel="0" collapsed="false">
      <c r="A31" s="193"/>
      <c r="P31" s="194"/>
    </row>
    <row r="32" customFormat="false" ht="13.5" hidden="false" customHeight="true" outlineLevel="0" collapsed="false">
      <c r="A32" s="193"/>
      <c r="D32" s="196" t="s">
        <v>435</v>
      </c>
      <c r="E32" s="196"/>
      <c r="G32" s="196" t="s">
        <v>436</v>
      </c>
      <c r="H32" s="196"/>
      <c r="I32" s="196"/>
      <c r="P32" s="194"/>
    </row>
    <row r="33" customFormat="false" ht="13.5" hidden="false" customHeight="true" outlineLevel="0" collapsed="false">
      <c r="A33" s="193"/>
      <c r="D33" s="198" t="str">
        <f aca="false">'Stories to Numbers'!G14</f>
        <v>Mature hardware risk profile</v>
      </c>
      <c r="E33" s="198"/>
      <c r="G33" s="198" t="str">
        <f aca="false">'Stories to Numbers'!G13</f>
        <v>Returns near the cost of capital: narrow moat in networking only</v>
      </c>
      <c r="H33" s="198"/>
      <c r="I33" s="198"/>
      <c r="P33" s="194"/>
    </row>
    <row r="34" customFormat="false" ht="13.5" hidden="false" customHeight="true" outlineLevel="0" collapsed="false">
      <c r="A34" s="193"/>
      <c r="D34" s="198"/>
      <c r="E34" s="198"/>
      <c r="G34" s="198"/>
      <c r="H34" s="198"/>
      <c r="I34" s="198"/>
      <c r="P34" s="194"/>
    </row>
    <row r="35" customFormat="false" ht="13.5" hidden="false" customHeight="true" outlineLevel="0" collapsed="false">
      <c r="A35" s="193"/>
      <c r="D35" s="198"/>
      <c r="E35" s="198"/>
      <c r="G35" s="198"/>
      <c r="H35" s="198"/>
      <c r="I35" s="198"/>
      <c r="P35" s="194"/>
    </row>
    <row r="36" customFormat="false" ht="13.5" hidden="false" customHeight="true" outlineLevel="0" collapsed="false">
      <c r="A36" s="193"/>
      <c r="D36" s="198"/>
      <c r="E36" s="198"/>
      <c r="G36" s="198"/>
      <c r="H36" s="198"/>
      <c r="I36" s="198"/>
      <c r="P36" s="194"/>
    </row>
    <row r="37" customFormat="false" ht="13.5" hidden="false" customHeight="true" outlineLevel="0" collapsed="false">
      <c r="A37" s="193"/>
      <c r="D37" s="198"/>
      <c r="E37" s="198"/>
      <c r="G37" s="198"/>
      <c r="H37" s="198"/>
      <c r="I37" s="198"/>
      <c r="P37" s="194"/>
    </row>
    <row r="38" customFormat="false" ht="15" hidden="false" customHeight="true" outlineLevel="0" collapsed="false">
      <c r="A38" s="231"/>
      <c r="B38" s="232"/>
      <c r="C38" s="232"/>
      <c r="D38" s="198"/>
      <c r="E38" s="198"/>
      <c r="F38" s="232"/>
      <c r="G38" s="198"/>
      <c r="H38" s="198"/>
      <c r="I38" s="198"/>
      <c r="J38" s="232"/>
      <c r="K38" s="232"/>
      <c r="L38" s="232"/>
      <c r="M38" s="232"/>
      <c r="N38" s="232"/>
      <c r="O38" s="232"/>
      <c r="P38" s="233"/>
    </row>
  </sheetData>
  <mergeCells count="14">
    <mergeCell ref="A3:N3"/>
    <mergeCell ref="O3:P3"/>
    <mergeCell ref="A5:C5"/>
    <mergeCell ref="E5:F5"/>
    <mergeCell ref="H5:I5"/>
    <mergeCell ref="K5:L5"/>
    <mergeCell ref="E6:F12"/>
    <mergeCell ref="H6:I12"/>
    <mergeCell ref="K6:L12"/>
    <mergeCell ref="O6:P6"/>
    <mergeCell ref="D32:E32"/>
    <mergeCell ref="G32:I32"/>
    <mergeCell ref="D33:E38"/>
    <mergeCell ref="G33:I3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true" showRowColHeaders="true" showZeros="true" rightToLeft="false" tabSelected="false" showOutlineSymbols="true" defaultGridColor="true" view="normal" topLeftCell="A35" colorId="64" zoomScale="125" zoomScaleNormal="125" zoomScalePageLayoutView="100" workbookViewId="0">
      <selection pane="topLeft" activeCell="A25" activeCellId="0" sqref="A25"/>
    </sheetView>
  </sheetViews>
  <sheetFormatPr defaultColWidth="10.84765625" defaultRowHeight="15.75" customHeight="false" zeroHeight="false" outlineLevelRow="0" outlineLevelCol="0"/>
  <cols>
    <col collapsed="false" customWidth="true" hidden="false" outlineLevel="0" max="1" min="1" style="9" width="61.66"/>
    <col collapsed="false" customWidth="true" hidden="false" outlineLevel="0" max="2" min="2" style="234" width="17.66"/>
    <col collapsed="false" customWidth="true" hidden="false" outlineLevel="0" max="3" min="3" style="234" width="21"/>
    <col collapsed="false" customWidth="true" hidden="false" outlineLevel="0" max="4" min="4" style="234" width="20.5"/>
    <col collapsed="false" customWidth="true" hidden="false" outlineLevel="0" max="5" min="5" style="234" width="17.66"/>
    <col collapsed="false" customWidth="true" hidden="false" outlineLevel="0" max="6" min="6" style="9" width="11.16"/>
    <col collapsed="false" customWidth="true" hidden="false" outlineLevel="0" max="7" min="7" style="9" width="72"/>
    <col collapsed="false" customWidth="false" hidden="false" outlineLevel="0" max="16384" min="8" style="9" width="10.84"/>
  </cols>
  <sheetData>
    <row r="1" customFormat="false" ht="15.75" hidden="false" customHeight="true" outlineLevel="0" collapsed="false">
      <c r="A1" s="235" t="s">
        <v>437</v>
      </c>
      <c r="B1" s="236"/>
      <c r="C1" s="237"/>
      <c r="D1" s="238" t="s">
        <v>438</v>
      </c>
      <c r="E1" s="238"/>
      <c r="G1" s="239" t="s">
        <v>439</v>
      </c>
    </row>
    <row r="2" customFormat="false" ht="33.75" hidden="false" customHeight="true" outlineLevel="0" collapsed="false">
      <c r="A2" s="240"/>
      <c r="B2" s="241" t="s">
        <v>440</v>
      </c>
      <c r="C2" s="241" t="s">
        <v>441</v>
      </c>
      <c r="D2" s="241" t="s">
        <v>391</v>
      </c>
      <c r="E2" s="242" t="s">
        <v>392</v>
      </c>
      <c r="G2" s="243" t="s">
        <v>442</v>
      </c>
    </row>
    <row r="3" customFormat="false" ht="33.75" hidden="false" customHeight="true" outlineLevel="0" collapsed="false">
      <c r="A3" s="244" t="s">
        <v>443</v>
      </c>
      <c r="B3" s="245" t="n">
        <f aca="false">'Input sheet'!J25</f>
        <v>0.0671086956521739</v>
      </c>
      <c r="C3" s="245" t="n">
        <f aca="false">'Input sheet'!I25</f>
        <v>0.304847677663613</v>
      </c>
      <c r="D3" s="245" t="n">
        <f aca="false">'Valuation output'!C2</f>
        <v>0.3</v>
      </c>
      <c r="E3" s="245" t="n">
        <f aca="false">'Valuation output'!D2</f>
        <v>0.05</v>
      </c>
      <c r="G3" s="243" t="s">
        <v>444</v>
      </c>
    </row>
    <row r="4" customFormat="false" ht="16.5" hidden="false" customHeight="true" outlineLevel="0" collapsed="false"/>
    <row r="5" customFormat="false" ht="15.75" hidden="false" customHeight="true" outlineLevel="0" collapsed="false">
      <c r="A5" s="235" t="s">
        <v>445</v>
      </c>
      <c r="B5" s="237"/>
      <c r="C5" s="237"/>
      <c r="D5" s="237"/>
      <c r="E5" s="246"/>
    </row>
    <row r="6" customFormat="false" ht="15.75" hidden="false" customHeight="true" outlineLevel="0" collapsed="false">
      <c r="A6" s="240"/>
      <c r="B6" s="234" t="s">
        <v>441</v>
      </c>
      <c r="C6" s="234" t="s">
        <v>391</v>
      </c>
      <c r="D6" s="234" t="s">
        <v>446</v>
      </c>
      <c r="E6" s="247" t="s">
        <v>447</v>
      </c>
      <c r="G6" s="248" t="s">
        <v>448</v>
      </c>
    </row>
    <row r="7" customFormat="false" ht="15.75" hidden="false" customHeight="true" outlineLevel="0" collapsed="false">
      <c r="A7" s="244" t="s">
        <v>250</v>
      </c>
      <c r="B7" s="249" t="n">
        <f aca="false">'Valuation output'!B3</f>
        <v>41871</v>
      </c>
      <c r="C7" s="249" t="n">
        <f aca="false">'Valuation output'!C3</f>
        <v>54432.3</v>
      </c>
      <c r="D7" s="249" t="n">
        <f aca="false">'Valuation output'!G3</f>
        <v>66162.800851875</v>
      </c>
      <c r="E7" s="249" t="n">
        <f aca="false">'Valuation output'!L3</f>
        <v>79144.2709245915</v>
      </c>
      <c r="G7" s="248" t="s">
        <v>449</v>
      </c>
    </row>
    <row r="8" customFormat="false" ht="15.75" hidden="false" customHeight="true" outlineLevel="0" collapsed="false">
      <c r="G8" s="248" t="s">
        <v>450</v>
      </c>
    </row>
    <row r="9" customFormat="false" ht="15.75" hidden="false" customHeight="true" outlineLevel="0" collapsed="false">
      <c r="G9" s="248" t="s">
        <v>451</v>
      </c>
    </row>
    <row r="10" customFormat="false" ht="16.5" hidden="false" customHeight="true" outlineLevel="0" collapsed="false"/>
    <row r="11" customFormat="false" ht="15.75" hidden="false" customHeight="true" outlineLevel="0" collapsed="false">
      <c r="A11" s="235" t="s">
        <v>452</v>
      </c>
      <c r="B11" s="250" t="s">
        <v>441</v>
      </c>
      <c r="C11" s="250" t="s">
        <v>391</v>
      </c>
      <c r="D11" s="250" t="s">
        <v>446</v>
      </c>
      <c r="E11" s="251" t="s">
        <v>447</v>
      </c>
      <c r="G11" s="248" t="s">
        <v>453</v>
      </c>
    </row>
    <row r="12" customFormat="false" ht="33.75" hidden="false" customHeight="true" outlineLevel="0" collapsed="false">
      <c r="A12" s="244" t="s">
        <v>404</v>
      </c>
      <c r="B12" s="245" t="n">
        <f aca="false">'Valuation output'!B4</f>
        <v>0.118745671228296</v>
      </c>
      <c r="C12" s="245" t="n">
        <f aca="false">'Valuation output'!C4</f>
        <v>0.127</v>
      </c>
      <c r="D12" s="245" t="n">
        <f aca="false">'Valuation output'!G4</f>
        <v>0.107</v>
      </c>
      <c r="E12" s="245" t="n">
        <f aca="false">'Valuation output'!M4</f>
        <v>0.107</v>
      </c>
      <c r="G12" s="243" t="s">
        <v>454</v>
      </c>
    </row>
    <row r="13" customFormat="false" ht="15.75" hidden="false" customHeight="true" outlineLevel="0" collapsed="false">
      <c r="G13" s="248" t="s">
        <v>455</v>
      </c>
    </row>
    <row r="14" customFormat="false" ht="16.5" hidden="false" customHeight="true" outlineLevel="0" collapsed="false"/>
    <row r="15" customFormat="false" ht="15.75" hidden="false" customHeight="true" outlineLevel="0" collapsed="false">
      <c r="A15" s="235" t="s">
        <v>456</v>
      </c>
      <c r="B15" s="237"/>
      <c r="C15" s="237"/>
      <c r="D15" s="237"/>
      <c r="E15" s="246"/>
    </row>
    <row r="16" customFormat="false" ht="15.75" hidden="false" customHeight="true" outlineLevel="0" collapsed="false">
      <c r="A16" s="240"/>
      <c r="B16" s="241" t="s">
        <v>441</v>
      </c>
      <c r="C16" s="241" t="s">
        <v>391</v>
      </c>
      <c r="D16" s="241" t="s">
        <v>446</v>
      </c>
      <c r="E16" s="242" t="s">
        <v>447</v>
      </c>
      <c r="G16" s="248" t="s">
        <v>457</v>
      </c>
    </row>
    <row r="17" customFormat="false" ht="15.75" hidden="false" customHeight="true" outlineLevel="0" collapsed="false">
      <c r="A17" s="244" t="s">
        <v>432</v>
      </c>
      <c r="B17" s="252" t="n">
        <f aca="false">'Input sheet'!I27</f>
        <v>1.03120382228352</v>
      </c>
      <c r="C17" s="252" t="n">
        <f aca="false">'Valuation output'!C38</f>
        <v>6</v>
      </c>
      <c r="D17" s="252" t="n">
        <f aca="false">'Valuation output'!G38</f>
        <v>6</v>
      </c>
      <c r="E17" s="252" t="n">
        <f aca="false">'Valuation output'!L38</f>
        <v>6</v>
      </c>
      <c r="G17" s="248" t="s">
        <v>458</v>
      </c>
    </row>
    <row r="18" customFormat="false" ht="15.75" hidden="false" customHeight="true" outlineLevel="0" collapsed="false">
      <c r="A18" s="240"/>
      <c r="E18" s="247"/>
      <c r="G18" s="248" t="s">
        <v>459</v>
      </c>
    </row>
    <row r="19" customFormat="false" ht="15.75" hidden="false" customHeight="true" outlineLevel="0" collapsed="false">
      <c r="A19" s="253" t="s">
        <v>460</v>
      </c>
      <c r="E19" s="247"/>
    </row>
    <row r="20" customFormat="false" ht="15.75" hidden="false" customHeight="true" outlineLevel="0" collapsed="false">
      <c r="A20" s="240"/>
      <c r="B20" s="254" t="s">
        <v>461</v>
      </c>
      <c r="C20" s="254" t="s">
        <v>462</v>
      </c>
      <c r="E20" s="247"/>
    </row>
    <row r="21" customFormat="false" ht="15.75" hidden="false" customHeight="true" outlineLevel="0" collapsed="false">
      <c r="A21" s="240" t="s">
        <v>463</v>
      </c>
      <c r="B21" s="255" t="n">
        <f aca="false">'Valuation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34828.4131508108</v>
      </c>
      <c r="C21" s="256" t="n">
        <f aca="false">B21/B21</f>
        <v>1</v>
      </c>
      <c r="E21" s="247"/>
      <c r="G21" s="248" t="s">
        <v>464</v>
      </c>
    </row>
    <row r="22" customFormat="false" ht="15.75" hidden="false" customHeight="true" outlineLevel="0" collapsed="false">
      <c r="A22" s="244" t="s">
        <v>465</v>
      </c>
      <c r="B22" s="257" t="n">
        <f aca="false">B21-B23</f>
        <v>2718.08539826041</v>
      </c>
      <c r="C22" s="245" t="n">
        <f aca="false">B22/B21</f>
        <v>0.0780421831592156</v>
      </c>
      <c r="E22" s="247"/>
      <c r="G22" s="248" t="s">
        <v>466</v>
      </c>
    </row>
    <row r="23" customFormat="false" ht="15.75" hidden="false" customHeight="true" outlineLevel="0" collapsed="false">
      <c r="A23" s="240" t="s">
        <v>467</v>
      </c>
      <c r="B23" s="258" t="n">
        <f aca="false">'Valuation output'!B20</f>
        <v>32110.3277525504</v>
      </c>
      <c r="C23" s="259" t="n">
        <f aca="false">C21-C22</f>
        <v>0.921957816840784</v>
      </c>
      <c r="E23" s="247"/>
    </row>
    <row r="24" customFormat="false" ht="15.75" hidden="false" customHeight="true" outlineLevel="0" collapsed="false">
      <c r="A24" s="240"/>
      <c r="E24" s="247"/>
    </row>
    <row r="25" customFormat="false" ht="15.75" hidden="false" customHeight="true" outlineLevel="0" collapsed="false">
      <c r="A25" s="253" t="s">
        <v>468</v>
      </c>
      <c r="E25" s="247"/>
    </row>
    <row r="26" customFormat="false" ht="15.75" hidden="false" customHeight="true" outlineLevel="0" collapsed="false">
      <c r="A26" s="240"/>
      <c r="B26" s="241" t="s">
        <v>469</v>
      </c>
      <c r="C26" s="241" t="s">
        <v>470</v>
      </c>
      <c r="D26" s="241" t="s">
        <v>471</v>
      </c>
      <c r="E26" s="242" t="s">
        <v>472</v>
      </c>
    </row>
    <row r="27" customFormat="false" ht="15.75" hidden="false" customHeight="true" outlineLevel="0" collapsed="false">
      <c r="A27" s="244" t="s">
        <v>400</v>
      </c>
      <c r="B27" s="245" t="n">
        <f aca="false">'Valuation output'!B40</f>
        <v>0.1016343217417</v>
      </c>
      <c r="C27" s="245" t="n">
        <f aca="false">('Valuation output'!L7-'Valuation output'!B7)/('Valuation output'!L39-'Valuation output'!B39)</f>
        <v>0.571986781568683</v>
      </c>
      <c r="D27" s="245" t="n">
        <f aca="false">'Valuation output'!L40</f>
        <v>0.149590050075003</v>
      </c>
      <c r="E27" s="245" t="n">
        <f aca="false">'Valuation output'!M40</f>
        <v>0.0918</v>
      </c>
    </row>
    <row r="28" customFormat="false" ht="16.5" hidden="false" customHeight="true" outlineLevel="0" collapsed="false"/>
    <row r="29" customFormat="false" ht="15.75" hidden="false" customHeight="true" outlineLevel="0" collapsed="false">
      <c r="A29" s="235" t="s">
        <v>473</v>
      </c>
      <c r="B29" s="237"/>
      <c r="C29" s="237"/>
      <c r="D29" s="237"/>
      <c r="E29" s="246"/>
    </row>
    <row r="30" customFormat="false" ht="15.75" hidden="false" customHeight="true" outlineLevel="0" collapsed="false">
      <c r="A30" s="240"/>
      <c r="B30" s="241" t="s">
        <v>440</v>
      </c>
      <c r="C30" s="241" t="s">
        <v>474</v>
      </c>
      <c r="D30" s="241" t="s">
        <v>475</v>
      </c>
      <c r="E30" s="242" t="s">
        <v>476</v>
      </c>
      <c r="G30" s="248" t="s">
        <v>477</v>
      </c>
    </row>
    <row r="31" customFormat="false" ht="15.75" hidden="false" customHeight="true" outlineLevel="0" collapsed="false">
      <c r="A31" s="244" t="s">
        <v>15</v>
      </c>
      <c r="B31" s="245" t="n">
        <f aca="false">'Input sheet'!J31</f>
        <v>0.0970707313266584</v>
      </c>
      <c r="C31" s="245" t="n">
        <f aca="false">(1/'Valuation output'!L13)^(1/10)-1</f>
        <v>0.104947707223094</v>
      </c>
      <c r="D31" s="245" t="n">
        <f aca="false">'Valuation output'!C12</f>
        <v>0.110612273738674</v>
      </c>
      <c r="E31" s="245" t="n">
        <f aca="false">'Valuation output'!M12</f>
        <v>0.0918</v>
      </c>
      <c r="G31" s="248" t="s">
        <v>478</v>
      </c>
    </row>
    <row r="32" customFormat="false" ht="15.75" hidden="false" customHeight="true" outlineLevel="0" collapsed="false">
      <c r="A32" s="240"/>
      <c r="E32" s="247"/>
      <c r="G32" s="248" t="s">
        <v>479</v>
      </c>
    </row>
    <row r="33" customFormat="false" ht="16.5" hidden="false" customHeight="true" outlineLevel="0" collapsed="false">
      <c r="A33" s="244" t="s">
        <v>480</v>
      </c>
      <c r="B33" s="245" t="n">
        <f aca="false">'Valuation output'!B22</f>
        <v>0</v>
      </c>
      <c r="C33" s="260"/>
      <c r="D33" s="260"/>
      <c r="E33" s="261"/>
    </row>
    <row r="34" customFormat="false" ht="16.5" hidden="false" customHeight="true" outlineLevel="0" collapsed="false"/>
    <row r="35" customFormat="false" ht="15.75" hidden="false" customHeight="true" outlineLevel="0" collapsed="false">
      <c r="A35" s="235" t="s">
        <v>481</v>
      </c>
      <c r="B35" s="237"/>
      <c r="C35" s="237"/>
      <c r="D35" s="237"/>
      <c r="E35" s="246"/>
    </row>
    <row r="36" s="188" customFormat="true" ht="13.5" hidden="false" customHeight="true" outlineLevel="0" collapsed="false">
      <c r="A36" s="225" t="s">
        <v>482</v>
      </c>
      <c r="B36" s="262" t="n">
        <f aca="false">'Valuation output'!B33/'Valuation output'!B34</f>
        <v>0.508430855709192</v>
      </c>
      <c r="C36" s="263"/>
      <c r="D36" s="263"/>
      <c r="E36" s="194"/>
    </row>
    <row r="37" s="188" customFormat="true" ht="16.5" hidden="false" customHeight="true" outlineLevel="0" collapsed="false">
      <c r="A37" s="264"/>
      <c r="B37" s="265" t="str">
        <f aca="false">IF(B36="NA","Value is negative. See below",IF(B36&gt;2,"Value seems high. See below",IF(B36&lt;0.5,"Value seems low. See below"," ")))</f>
        <v> </v>
      </c>
      <c r="C37" s="265"/>
      <c r="D37" s="263"/>
      <c r="E37" s="194"/>
      <c r="F37" s="266"/>
    </row>
    <row r="38" s="266" customFormat="true" ht="42" hidden="false" customHeight="true" outlineLevel="0" collapsed="false">
      <c r="A38" s="267" t="s">
        <v>483</v>
      </c>
      <c r="B38" s="268" t="s">
        <v>484</v>
      </c>
      <c r="C38" s="269" t="s">
        <v>485</v>
      </c>
      <c r="D38" s="270"/>
      <c r="E38" s="271"/>
    </row>
    <row r="39" s="266" customFormat="true" ht="34.5" hidden="false" customHeight="true" outlineLevel="0" collapsed="false">
      <c r="A39" s="272" t="s">
        <v>486</v>
      </c>
      <c r="B39" s="273" t="s">
        <v>487</v>
      </c>
      <c r="C39" s="273" t="s">
        <v>488</v>
      </c>
      <c r="D39" s="270"/>
      <c r="E39" s="271"/>
    </row>
    <row r="40" s="266" customFormat="true" ht="42" hidden="false" customHeight="true" outlineLevel="0" collapsed="false">
      <c r="A40" s="272" t="s">
        <v>489</v>
      </c>
      <c r="B40" s="274" t="s">
        <v>490</v>
      </c>
      <c r="C40" s="273" t="s">
        <v>491</v>
      </c>
      <c r="D40" s="270" t="s">
        <v>492</v>
      </c>
      <c r="E40" s="271"/>
    </row>
    <row r="41" s="266" customFormat="true" ht="33.75" hidden="false" customHeight="true" outlineLevel="0" collapsed="false">
      <c r="A41" s="275" t="s">
        <v>493</v>
      </c>
      <c r="B41" s="273" t="s">
        <v>494</v>
      </c>
      <c r="C41" s="273" t="s">
        <v>495</v>
      </c>
      <c r="D41" s="270" t="s">
        <v>492</v>
      </c>
      <c r="E41" s="271"/>
    </row>
    <row r="42" s="266" customFormat="true" ht="48" hidden="false" customHeight="true" outlineLevel="0" collapsed="false">
      <c r="A42" s="276" t="s">
        <v>496</v>
      </c>
      <c r="B42" s="277" t="s">
        <v>497</v>
      </c>
      <c r="C42" s="273" t="s">
        <v>498</v>
      </c>
      <c r="D42" s="278" t="s">
        <v>499</v>
      </c>
      <c r="E42" s="279"/>
      <c r="F42" s="9"/>
    </row>
  </sheetData>
  <mergeCells count="2">
    <mergeCell ref="D1:E1"/>
    <mergeCell ref="B37:C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3" activeCellId="0" sqref="D33"/>
    </sheetView>
  </sheetViews>
  <sheetFormatPr defaultColWidth="10.73046875" defaultRowHeight="15.75" customHeight="false" zeroHeight="false" outlineLevelRow="0" outlineLevelCol="0"/>
  <cols>
    <col collapsed="false" customWidth="true" hidden="false" outlineLevel="0" max="1" min="1" style="9" width="44.33"/>
    <col collapsed="false" customWidth="true" hidden="false" outlineLevel="0" max="2" min="2" style="9" width="28.15"/>
    <col collapsed="false" customWidth="true" hidden="false" outlineLevel="0" max="3" min="3" style="9" width="30.66"/>
    <col collapsed="false" customWidth="true" hidden="false" outlineLevel="0" max="4" min="4" style="9" width="24.82"/>
    <col collapsed="false" customWidth="true" hidden="false" outlineLevel="0" max="7" min="5" style="123" width="44.33"/>
  </cols>
  <sheetData>
    <row r="1" customFormat="false" ht="18.75" hidden="false" customHeight="true" outlineLevel="0" collapsed="false">
      <c r="A1" s="280" t="s">
        <v>500</v>
      </c>
      <c r="B1" s="280"/>
      <c r="C1" s="280"/>
      <c r="D1" s="280"/>
    </row>
    <row r="2" customFormat="false" ht="37.5" hidden="false" customHeight="true" outlineLevel="0" collapsed="false">
      <c r="A2" s="280"/>
      <c r="B2" s="280"/>
      <c r="C2" s="280"/>
      <c r="D2" s="280"/>
    </row>
    <row r="3" s="282" customFormat="true" ht="18" hidden="false" customHeight="true" outlineLevel="0" collapsed="false">
      <c r="A3" s="281" t="s">
        <v>501</v>
      </c>
      <c r="B3" s="281"/>
      <c r="C3" s="281"/>
      <c r="D3" s="281"/>
      <c r="E3" s="281"/>
      <c r="F3" s="281"/>
      <c r="G3" s="281"/>
    </row>
    <row r="4" s="284" customFormat="true" ht="15.75" hidden="false" customHeight="true" outlineLevel="0" collapsed="false">
      <c r="A4" s="9" t="s">
        <v>502</v>
      </c>
      <c r="B4" s="283" t="n">
        <f aca="false">'Input sheet'!B22</f>
        <v>62.0900001525879</v>
      </c>
      <c r="C4" s="9"/>
      <c r="D4" s="9"/>
      <c r="E4" s="9"/>
    </row>
    <row r="5" s="284" customFormat="true" ht="15.75" hidden="false" customHeight="true" outlineLevel="0" collapsed="false">
      <c r="A5" s="9" t="s">
        <v>503</v>
      </c>
      <c r="B5" s="283" t="n">
        <f aca="false">'Input sheet'!B39</f>
        <v>1.29</v>
      </c>
      <c r="C5" s="9"/>
      <c r="D5" s="9"/>
      <c r="E5" s="9"/>
    </row>
    <row r="6" s="284" customFormat="true" ht="15.75" hidden="false" customHeight="true" outlineLevel="0" collapsed="false">
      <c r="A6" s="9" t="s">
        <v>504</v>
      </c>
      <c r="B6" s="285" t="n">
        <f aca="false">'Input sheet'!B40</f>
        <v>7</v>
      </c>
      <c r="C6" s="9"/>
      <c r="D6" s="9"/>
      <c r="E6" s="9"/>
    </row>
    <row r="7" s="284" customFormat="true" ht="15.75" hidden="false" customHeight="true" outlineLevel="0" collapsed="false">
      <c r="A7" s="9" t="s">
        <v>505</v>
      </c>
      <c r="B7" s="286" t="n">
        <f aca="false">'Input sheet'!B41</f>
        <v>0.45</v>
      </c>
      <c r="C7" s="9" t="s">
        <v>506</v>
      </c>
      <c r="D7" s="9"/>
      <c r="E7" s="9"/>
    </row>
    <row r="8" s="284" customFormat="true" ht="15.75" hidden="false" customHeight="true" outlineLevel="0" collapsed="false">
      <c r="A8" s="9" t="s">
        <v>507</v>
      </c>
      <c r="B8" s="286" t="n">
        <v>0</v>
      </c>
      <c r="C8" s="9"/>
      <c r="D8" s="9"/>
      <c r="E8" s="9"/>
    </row>
    <row r="9" s="284" customFormat="true" ht="15.75" hidden="false" customHeight="true" outlineLevel="0" collapsed="false">
      <c r="A9" s="9" t="s">
        <v>508</v>
      </c>
      <c r="B9" s="286" t="n">
        <f aca="false">'Input sheet'!B34</f>
        <v>0.0495</v>
      </c>
      <c r="C9" s="9"/>
      <c r="D9" s="9"/>
      <c r="E9" s="9"/>
    </row>
    <row r="10" s="284" customFormat="true" ht="15.75" hidden="false" customHeight="true" outlineLevel="0" collapsed="false">
      <c r="A10" s="9" t="s">
        <v>509</v>
      </c>
      <c r="B10" s="285" t="n">
        <f aca="false">'Input sheet'!B38</f>
        <v>7.72</v>
      </c>
      <c r="C10" s="9"/>
      <c r="D10" s="9"/>
      <c r="E10" s="9"/>
    </row>
    <row r="11" s="284" customFormat="true" ht="15.75" hidden="false" customHeight="true" outlineLevel="0" collapsed="false">
      <c r="A11" s="9" t="s">
        <v>510</v>
      </c>
      <c r="B11" s="287" t="n">
        <f aca="false">'Input sheet'!B21</f>
        <v>1445.21</v>
      </c>
      <c r="C11" s="9"/>
      <c r="D11" s="9"/>
      <c r="E11" s="9"/>
    </row>
    <row r="12" s="284" customFormat="true" ht="15.75" hidden="false" customHeight="true" outlineLevel="0" collapsed="false">
      <c r="A12" s="9"/>
      <c r="B12" s="9"/>
      <c r="C12" s="9"/>
      <c r="D12" s="9"/>
      <c r="E12" s="9"/>
      <c r="F12" s="9"/>
      <c r="G12" s="9"/>
    </row>
    <row r="13" s="189" customFormat="true" ht="15.75" hidden="false" customHeight="true" outlineLevel="0" collapsed="false">
      <c r="A13" s="288" t="s">
        <v>511</v>
      </c>
      <c r="B13" s="289"/>
      <c r="C13" s="289"/>
      <c r="D13" s="289"/>
      <c r="E13" s="289"/>
      <c r="F13" s="289"/>
      <c r="G13" s="289"/>
    </row>
    <row r="14" s="188" customFormat="true" ht="15.75" hidden="false" customHeight="true" outlineLevel="0" collapsed="false">
      <c r="A14" s="281" t="s">
        <v>512</v>
      </c>
      <c r="B14" s="9"/>
      <c r="C14" s="9"/>
      <c r="D14" s="9"/>
      <c r="E14" s="9"/>
      <c r="F14" s="9"/>
      <c r="G14" s="9"/>
    </row>
    <row r="15" s="188" customFormat="true" ht="15.75" hidden="false" customHeight="true" outlineLevel="0" collapsed="false">
      <c r="A15" s="248" t="s">
        <v>513</v>
      </c>
      <c r="B15" s="290" t="n">
        <f aca="false">B4</f>
        <v>62.0900001525879</v>
      </c>
      <c r="C15" s="248" t="s">
        <v>514</v>
      </c>
      <c r="D15" s="291" t="n">
        <f aca="false">B10</f>
        <v>7.72</v>
      </c>
      <c r="E15" s="292"/>
    </row>
    <row r="16" s="188" customFormat="true" ht="15.75" hidden="false" customHeight="true" outlineLevel="0" collapsed="false">
      <c r="A16" s="248" t="s">
        <v>515</v>
      </c>
      <c r="B16" s="293" t="n">
        <f aca="false">B5</f>
        <v>1.29</v>
      </c>
      <c r="C16" s="248" t="s">
        <v>516</v>
      </c>
      <c r="D16" s="294" t="n">
        <f aca="false">B11</f>
        <v>1445.21</v>
      </c>
      <c r="E16" s="292"/>
    </row>
    <row r="17" s="188" customFormat="true" ht="15.75" hidden="false" customHeight="true" outlineLevel="0" collapsed="false">
      <c r="A17" s="248" t="s">
        <v>517</v>
      </c>
      <c r="B17" s="290" t="n">
        <f aca="false">(B15*D16+B28*D15)/(D16+D15)</f>
        <v>62.085129139784</v>
      </c>
      <c r="C17" s="248" t="s">
        <v>518</v>
      </c>
      <c r="D17" s="295" t="n">
        <f aca="false">B9</f>
        <v>0.0495</v>
      </c>
      <c r="E17" s="9"/>
    </row>
    <row r="18" s="188" customFormat="true" ht="15.75" hidden="false" customHeight="true" outlineLevel="0" collapsed="false">
      <c r="A18" s="248" t="s">
        <v>519</v>
      </c>
      <c r="B18" s="293" t="n">
        <f aca="false">B16</f>
        <v>1.29</v>
      </c>
      <c r="C18" s="248" t="s">
        <v>520</v>
      </c>
      <c r="D18" s="296" t="n">
        <f aca="false">B7^2</f>
        <v>0.2025</v>
      </c>
      <c r="E18" s="9"/>
    </row>
    <row r="19" s="188" customFormat="true" ht="15.75" hidden="false" customHeight="true" outlineLevel="0" collapsed="false">
      <c r="A19" s="248" t="s">
        <v>521</v>
      </c>
      <c r="B19" s="297" t="n">
        <f aca="false">B6</f>
        <v>7</v>
      </c>
      <c r="C19" s="248" t="s">
        <v>522</v>
      </c>
      <c r="D19" s="295" t="n">
        <f aca="false">B8</f>
        <v>0</v>
      </c>
      <c r="E19" s="9"/>
    </row>
    <row r="20" s="188" customFormat="true" ht="15.75" hidden="false" customHeight="true" outlineLevel="0" collapsed="false">
      <c r="A20" s="9"/>
      <c r="B20" s="9"/>
      <c r="C20" s="248" t="s">
        <v>523</v>
      </c>
      <c r="D20" s="298" t="n">
        <f aca="false">D17-D19</f>
        <v>0.0495</v>
      </c>
      <c r="E20" s="9"/>
    </row>
    <row r="21" s="188" customFormat="true" ht="15.75" hidden="false" customHeight="true" outlineLevel="0" collapsed="false">
      <c r="A21" s="9"/>
      <c r="B21" s="9"/>
      <c r="C21" s="9"/>
      <c r="D21" s="9"/>
      <c r="E21" s="9"/>
      <c r="F21" s="9"/>
      <c r="G21" s="9"/>
    </row>
    <row r="22" s="188" customFormat="true" ht="15.75" hidden="false" customHeight="true" outlineLevel="0" collapsed="false">
      <c r="A22" s="9" t="s">
        <v>524</v>
      </c>
      <c r="B22" s="299" t="n">
        <f aca="false">(LN(B17/B18)+(D20+(D18/2))*B19)/(((D18)^(0.5))*(B19^0.5))</f>
        <v>4.13565800245139</v>
      </c>
      <c r="C22" s="9"/>
      <c r="D22" s="9"/>
      <c r="E22" s="9"/>
      <c r="F22" s="9"/>
      <c r="G22" s="9"/>
    </row>
    <row r="23" s="188" customFormat="true" ht="15.75" hidden="false" customHeight="true" outlineLevel="0" collapsed="false">
      <c r="A23" s="9" t="s">
        <v>525</v>
      </c>
      <c r="B23" s="299" t="n">
        <f aca="false">NORMSDIST(B22)</f>
        <v>0.999982303050775</v>
      </c>
      <c r="C23" s="9"/>
      <c r="D23" s="9"/>
      <c r="E23" s="9"/>
      <c r="F23" s="9"/>
      <c r="G23" s="9"/>
    </row>
    <row r="24" s="188" customFormat="true" ht="15.75" hidden="false" customHeight="true" outlineLevel="0" collapsed="false">
      <c r="A24" s="9"/>
      <c r="B24" s="234"/>
      <c r="C24" s="9"/>
      <c r="D24" s="9"/>
      <c r="E24" s="9"/>
      <c r="F24" s="9"/>
      <c r="G24" s="9"/>
    </row>
    <row r="25" s="188" customFormat="true" ht="15.75" hidden="false" customHeight="true" outlineLevel="0" collapsed="false">
      <c r="A25" s="9" t="s">
        <v>526</v>
      </c>
      <c r="B25" s="299" t="n">
        <f aca="false">B22-((D18^0.5)*(B19^(0.5)))</f>
        <v>2.94506991247232</v>
      </c>
      <c r="C25" s="9"/>
      <c r="D25" s="9"/>
      <c r="E25" s="9"/>
      <c r="F25" s="9"/>
      <c r="G25" s="9"/>
    </row>
    <row r="26" s="188" customFormat="true" ht="15.75" hidden="false" customHeight="true" outlineLevel="0" collapsed="false">
      <c r="A26" s="9" t="s">
        <v>527</v>
      </c>
      <c r="B26" s="299" t="n">
        <f aca="false">NORMSDIST(B25)</f>
        <v>0.998385591520708</v>
      </c>
      <c r="C26" s="9"/>
      <c r="D26" s="9"/>
      <c r="E26" s="9"/>
      <c r="F26" s="9"/>
      <c r="G26" s="9"/>
    </row>
    <row r="27" s="284" customFormat="true" ht="16.5" hidden="false" customHeight="true" outlineLevel="0" collapsed="false">
      <c r="A27" s="9"/>
      <c r="B27" s="9"/>
      <c r="C27" s="9"/>
      <c r="D27" s="9"/>
      <c r="E27" s="9"/>
      <c r="F27" s="9"/>
      <c r="G27" s="9"/>
    </row>
    <row r="28" s="188" customFormat="true" ht="16.5" hidden="false" customHeight="true" outlineLevel="0" collapsed="false">
      <c r="A28" s="9" t="s">
        <v>528</v>
      </c>
      <c r="B28" s="300" t="n">
        <f aca="false">((EXP((0-D19)*B19))*B17*B23-B18*(EXP((0-D17)*B19))*B26)</f>
        <v>61.1732682652458</v>
      </c>
      <c r="C28" s="9"/>
      <c r="D28" s="9"/>
      <c r="E28" s="9"/>
      <c r="F28" s="301"/>
    </row>
    <row r="29" s="188" customFormat="true" ht="16.5" hidden="false" customHeight="true" outlineLevel="0" collapsed="false">
      <c r="A29" s="9" t="s">
        <v>529</v>
      </c>
      <c r="B29" s="302" t="n">
        <f aca="false">B28*B10</f>
        <v>472.257631007697</v>
      </c>
      <c r="C29" s="9"/>
      <c r="D29" s="9"/>
      <c r="E29" s="9"/>
    </row>
  </sheetData>
  <mergeCells count="1">
    <mergeCell ref="A1: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0"/>
  <sheetViews>
    <sheetView showFormulas="false" showGridLines="true" showRowColHeaders="true" showZeros="true" rightToLeft="false" tabSelected="false" showOutlineSymbols="true" defaultGridColor="true" view="normal" topLeftCell="A1" colorId="64" zoomScale="86" zoomScaleNormal="86" zoomScalePageLayoutView="100" workbookViewId="0">
      <selection pane="topLeft" activeCell="G41" activeCellId="0" sqref="G41"/>
    </sheetView>
  </sheetViews>
  <sheetFormatPr defaultColWidth="10.73046875" defaultRowHeight="15.75" customHeight="false" zeroHeight="false" outlineLevelRow="0" outlineLevelCol="0"/>
  <cols>
    <col collapsed="false" customWidth="true" hidden="false" outlineLevel="0" max="4" min="1" style="9" width="11.16"/>
    <col collapsed="false" customWidth="true" hidden="false" outlineLevel="0" max="5" min="5" style="9" width="10.84"/>
    <col collapsed="false" customWidth="true" hidden="false" outlineLevel="0" max="6" min="6" style="9" width="12.85"/>
    <col collapsed="false" customWidth="true" hidden="false" outlineLevel="0" max="7" min="7" style="9" width="10.84"/>
    <col collapsed="false" customWidth="true" hidden="false" outlineLevel="0" max="8" min="8" style="9" width="11.16"/>
    <col collapsed="false" customWidth="true" hidden="false" outlineLevel="0" max="10" min="9" style="9" width="10.84"/>
    <col collapsed="false" customWidth="true" hidden="false" outlineLevel="0" max="20" min="11" style="9" width="11.16"/>
  </cols>
  <sheetData>
    <row r="1" customFormat="false" ht="15.75" hidden="false" customHeight="true" outlineLevel="0" collapsed="false">
      <c r="A1" s="303" t="s">
        <v>530</v>
      </c>
      <c r="B1" s="303"/>
      <c r="C1" s="303"/>
      <c r="D1" s="303"/>
      <c r="E1" s="303"/>
      <c r="F1" s="303"/>
      <c r="G1" s="303"/>
      <c r="H1" s="303"/>
      <c r="I1" s="303"/>
      <c r="J1" s="303"/>
      <c r="K1" s="303"/>
      <c r="L1" s="303"/>
    </row>
    <row r="2" customFormat="false" ht="21" hidden="false" customHeight="true" outlineLevel="0" collapsed="false">
      <c r="A2" s="303"/>
      <c r="B2" s="303"/>
      <c r="C2" s="303"/>
      <c r="D2" s="303"/>
      <c r="E2" s="303"/>
      <c r="F2" s="303"/>
      <c r="G2" s="303"/>
      <c r="H2" s="303"/>
      <c r="I2" s="303"/>
      <c r="J2" s="303"/>
      <c r="K2" s="303"/>
      <c r="L2" s="303"/>
    </row>
    <row r="4" customFormat="false" ht="15.75" hidden="false" customHeight="true" outlineLevel="0" collapsed="false">
      <c r="A4" s="281" t="s">
        <v>531</v>
      </c>
    </row>
    <row r="5" customFormat="false" ht="15.75" hidden="false" customHeight="true" outlineLevel="0" collapsed="false">
      <c r="A5" s="281" t="s">
        <v>532</v>
      </c>
    </row>
    <row r="6" s="304" customFormat="true" ht="16.5" hidden="false" customHeight="true" outlineLevel="0" collapsed="false">
      <c r="A6" s="288" t="s">
        <v>533</v>
      </c>
      <c r="B6" s="289"/>
      <c r="C6" s="289"/>
      <c r="D6" s="289"/>
      <c r="E6" s="289"/>
      <c r="F6" s="289"/>
      <c r="G6" s="289"/>
      <c r="H6" s="289"/>
      <c r="I6" s="289"/>
      <c r="J6" s="289"/>
      <c r="K6" s="289"/>
      <c r="L6" s="289"/>
      <c r="M6" s="289"/>
      <c r="N6" s="289"/>
      <c r="O6" s="289"/>
      <c r="P6" s="289"/>
      <c r="Q6" s="289"/>
      <c r="R6" s="289"/>
      <c r="S6" s="289"/>
      <c r="T6" s="289"/>
    </row>
    <row r="7" s="306" customFormat="true" ht="16.5" hidden="false" customHeight="true" outlineLevel="0" collapsed="false">
      <c r="A7" s="9" t="s">
        <v>534</v>
      </c>
      <c r="B7" s="9"/>
      <c r="C7" s="305" t="n">
        <f aca="false">'Cost of capital worksheet'!B36</f>
        <v>2</v>
      </c>
      <c r="D7" s="9"/>
      <c r="E7" s="9"/>
      <c r="F7" s="9"/>
      <c r="G7" s="9"/>
      <c r="H7" s="9"/>
      <c r="I7" s="9"/>
      <c r="J7" s="9"/>
      <c r="K7" s="9"/>
      <c r="L7" s="9"/>
      <c r="M7" s="9"/>
      <c r="N7" s="9"/>
      <c r="O7" s="9"/>
      <c r="P7" s="9"/>
      <c r="Q7" s="9"/>
      <c r="R7" s="9"/>
      <c r="S7" s="9"/>
      <c r="T7" s="9"/>
    </row>
    <row r="8" s="306" customFormat="true" ht="16.5" hidden="false" customHeight="true" outlineLevel="0" collapsed="false">
      <c r="A8" s="9" t="s">
        <v>535</v>
      </c>
      <c r="B8" s="9"/>
      <c r="C8" s="9"/>
      <c r="D8" s="9"/>
      <c r="E8" s="9"/>
      <c r="F8" s="283" t="n">
        <f aca="false">IF('Input sheet'!B17="Yes",'Input sheet'!B12+'Operating lease converter'!F32,'Input sheet'!B12)</f>
        <v>4972</v>
      </c>
      <c r="G8" s="9" t="s">
        <v>536</v>
      </c>
      <c r="H8" s="9"/>
      <c r="I8" s="9"/>
      <c r="J8" s="9"/>
      <c r="K8" s="9"/>
      <c r="L8" s="9"/>
      <c r="M8" s="9"/>
      <c r="N8" s="9"/>
      <c r="O8" s="9"/>
      <c r="P8" s="9"/>
      <c r="Q8" s="9"/>
      <c r="R8" s="9"/>
      <c r="S8" s="9"/>
      <c r="T8" s="9"/>
    </row>
    <row r="9" s="306" customFormat="true" ht="16.5" hidden="false" customHeight="true" outlineLevel="0" collapsed="false">
      <c r="A9" s="9" t="s">
        <v>537</v>
      </c>
      <c r="B9" s="9"/>
      <c r="C9" s="9"/>
      <c r="D9" s="9"/>
      <c r="E9" s="9"/>
      <c r="F9" s="307" t="n">
        <f aca="false">IF('Input sheet'!B17="Yes",'Cost of capital worksheet'!B31+'Operating lease converter'!C28*'Operating lease converter'!C15,'Cost of capital worksheet'!B31)</f>
        <v>1018</v>
      </c>
      <c r="G9" s="9" t="s">
        <v>538</v>
      </c>
      <c r="H9" s="9"/>
      <c r="I9" s="9"/>
      <c r="J9" s="9"/>
      <c r="K9" s="9"/>
      <c r="L9" s="9"/>
      <c r="M9" s="9"/>
      <c r="N9" s="9"/>
      <c r="O9" s="9"/>
      <c r="P9" s="9"/>
      <c r="Q9" s="9"/>
      <c r="R9" s="9"/>
      <c r="S9" s="9"/>
      <c r="T9" s="9"/>
    </row>
    <row r="10" s="306" customFormat="true" ht="16.5" hidden="false" customHeight="true" outlineLevel="0" collapsed="false">
      <c r="A10" s="9" t="s">
        <v>539</v>
      </c>
      <c r="B10" s="9"/>
      <c r="C10" s="9"/>
      <c r="D10" s="9"/>
      <c r="E10" s="9"/>
      <c r="F10" s="308" t="n">
        <f aca="false">'Input sheet'!B34</f>
        <v>0.0495</v>
      </c>
      <c r="G10" s="9"/>
      <c r="H10" s="9"/>
      <c r="I10" s="9"/>
      <c r="J10" s="9"/>
      <c r="K10" s="9"/>
      <c r="L10" s="9"/>
      <c r="M10" s="9"/>
      <c r="N10" s="9"/>
      <c r="O10" s="9"/>
      <c r="P10" s="9"/>
      <c r="Q10" s="9"/>
      <c r="R10" s="9"/>
      <c r="S10" s="9"/>
      <c r="T10" s="9"/>
    </row>
    <row r="11" s="306" customFormat="true" ht="16.5" hidden="false" customHeight="true" outlineLevel="0" collapsed="false">
      <c r="A11" s="281" t="s">
        <v>540</v>
      </c>
      <c r="B11" s="9"/>
      <c r="C11" s="9"/>
      <c r="D11" s="9"/>
      <c r="E11" s="9"/>
      <c r="F11" s="9"/>
      <c r="G11" s="9"/>
      <c r="H11" s="9"/>
      <c r="I11" s="9"/>
      <c r="J11" s="9"/>
      <c r="K11" s="9"/>
      <c r="L11" s="9"/>
      <c r="M11" s="9"/>
      <c r="N11" s="9"/>
      <c r="O11" s="9"/>
      <c r="P11" s="9"/>
      <c r="Q11" s="9"/>
      <c r="R11" s="9"/>
      <c r="S11" s="9"/>
      <c r="T11" s="9"/>
    </row>
    <row r="12" s="306" customFormat="true" ht="16.5" hidden="false" customHeight="true" outlineLevel="0" collapsed="false">
      <c r="A12" s="9" t="s">
        <v>541</v>
      </c>
      <c r="B12" s="9"/>
      <c r="C12" s="9"/>
      <c r="D12" s="309" t="n">
        <f aca="false">IF(F9=0,1000000,IF(F8&lt;0,-100000,F8/F9))</f>
        <v>4.88408644400786</v>
      </c>
      <c r="E12" s="9"/>
      <c r="F12" s="9"/>
      <c r="G12" s="9"/>
      <c r="H12" s="9"/>
      <c r="I12" s="9"/>
      <c r="J12" s="9"/>
      <c r="K12" s="9"/>
      <c r="L12" s="9"/>
      <c r="M12" s="9"/>
      <c r="N12" s="9"/>
      <c r="O12" s="9"/>
      <c r="P12" s="9"/>
      <c r="Q12" s="9"/>
      <c r="R12" s="9"/>
      <c r="S12" s="9"/>
      <c r="T12" s="9"/>
    </row>
    <row r="13" s="306" customFormat="true" ht="16.5" hidden="false" customHeight="true" outlineLevel="0" collapsed="false">
      <c r="A13" s="9" t="s">
        <v>542</v>
      </c>
      <c r="B13" s="9"/>
      <c r="C13" s="9"/>
      <c r="D13" s="310" t="str">
        <f aca="false">IF(C7=1,VLOOKUP(D12,A22:D36,3),(IF(C7=2,VLOOKUP(D12,A41:D55,3),VLOOKUP(D12,F22:I36,3))))</f>
        <v>A3/A-</v>
      </c>
      <c r="E13" s="9"/>
      <c r="F13" s="289" t="s">
        <v>543</v>
      </c>
      <c r="G13" s="9"/>
      <c r="H13" s="9"/>
      <c r="I13" s="9"/>
      <c r="J13" s="9"/>
      <c r="K13" s="9"/>
      <c r="L13" s="9"/>
      <c r="M13" s="9"/>
      <c r="N13" s="9"/>
      <c r="O13" s="9"/>
      <c r="P13" s="9"/>
      <c r="Q13" s="9"/>
      <c r="R13" s="9"/>
      <c r="S13" s="9"/>
      <c r="T13" s="9"/>
    </row>
    <row r="14" s="306" customFormat="true" ht="16.5" hidden="false" customHeight="true" outlineLevel="0" collapsed="false">
      <c r="A14" s="9" t="s">
        <v>544</v>
      </c>
      <c r="B14" s="9"/>
      <c r="C14" s="9"/>
      <c r="D14" s="311" t="n">
        <f aca="false">IF(C7=1,VLOOKUP(D12,A22:D36,4),(IF(C7=2,VLOOKUP(D12,A41:D55,4),VLOOKUP(D12,F22:I36,4))))</f>
        <v>0.008872</v>
      </c>
      <c r="E14" s="9"/>
      <c r="F14" s="289" t="s">
        <v>545</v>
      </c>
      <c r="G14" s="9"/>
      <c r="H14" s="9"/>
      <c r="I14" s="9"/>
      <c r="J14" s="9"/>
      <c r="K14" s="9"/>
      <c r="L14" s="9"/>
      <c r="M14" s="9"/>
      <c r="N14" s="9"/>
      <c r="O14" s="9"/>
      <c r="P14" s="9"/>
      <c r="Q14" s="9"/>
      <c r="R14" s="9"/>
      <c r="S14" s="9"/>
      <c r="T14" s="9"/>
    </row>
    <row r="15" s="306" customFormat="true" ht="16.5" hidden="false" customHeight="true" outlineLevel="0" collapsed="false">
      <c r="A15" s="9" t="s">
        <v>546</v>
      </c>
      <c r="B15" s="9"/>
      <c r="C15" s="9"/>
      <c r="D15" s="311" t="n">
        <f aca="false">VLOOKUP('Input sheet'!B7,'Country equity risk premiums'!A5:C196,3)</f>
        <v>0.0023</v>
      </c>
      <c r="E15" s="9"/>
      <c r="F15" s="289"/>
      <c r="G15" s="9"/>
      <c r="H15" s="9"/>
      <c r="I15" s="9"/>
      <c r="J15" s="9"/>
      <c r="K15" s="9"/>
      <c r="L15" s="9"/>
      <c r="M15" s="9"/>
      <c r="N15" s="9"/>
      <c r="O15" s="9"/>
      <c r="P15" s="9"/>
      <c r="Q15" s="9"/>
      <c r="R15" s="9"/>
      <c r="S15" s="9"/>
      <c r="T15" s="9"/>
    </row>
    <row r="16" s="266" customFormat="true" ht="16.5" hidden="false" customHeight="true" outlineLevel="0" collapsed="false">
      <c r="A16" s="9" t="s">
        <v>547</v>
      </c>
      <c r="B16" s="9"/>
      <c r="C16" s="9"/>
      <c r="D16" s="311" t="n">
        <f aca="false">F10+D14+D15</f>
        <v>0.060672</v>
      </c>
      <c r="E16" s="9"/>
      <c r="F16" s="9"/>
      <c r="G16" s="9"/>
      <c r="H16" s="9"/>
      <c r="I16" s="9"/>
      <c r="J16" s="9"/>
      <c r="K16" s="9"/>
      <c r="L16" s="9"/>
      <c r="M16" s="9"/>
      <c r="N16" s="9"/>
      <c r="O16" s="9"/>
      <c r="P16" s="9"/>
      <c r="Q16" s="9"/>
      <c r="R16" s="9"/>
      <c r="S16" s="9"/>
      <c r="T16" s="9"/>
    </row>
    <row r="17" s="266" customFormat="true" ht="15.75" hidden="false" customHeight="true" outlineLevel="0" collapsed="false">
      <c r="A17" s="9"/>
      <c r="B17" s="9"/>
      <c r="C17" s="9"/>
      <c r="D17" s="312"/>
      <c r="E17" s="9"/>
      <c r="F17" s="9"/>
      <c r="G17" s="9"/>
      <c r="H17" s="9"/>
      <c r="I17" s="9"/>
      <c r="J17" s="9"/>
      <c r="K17" s="9"/>
      <c r="L17" s="9"/>
      <c r="M17" s="9"/>
      <c r="N17" s="9"/>
      <c r="O17" s="9"/>
      <c r="P17" s="9"/>
      <c r="Q17" s="9"/>
      <c r="R17" s="9"/>
      <c r="S17" s="9"/>
      <c r="T17" s="9"/>
    </row>
    <row r="18" s="314" customFormat="true" ht="16.5" hidden="false" customHeight="true" outlineLevel="0" collapsed="false">
      <c r="A18" s="289" t="s">
        <v>548</v>
      </c>
      <c r="B18" s="289"/>
      <c r="C18" s="289"/>
      <c r="D18" s="313"/>
      <c r="E18" s="289"/>
      <c r="F18" s="289"/>
      <c r="G18" s="289"/>
      <c r="H18" s="289"/>
      <c r="I18" s="289"/>
      <c r="J18" s="289"/>
      <c r="K18" s="289"/>
      <c r="L18" s="289"/>
      <c r="M18" s="289"/>
      <c r="N18" s="289"/>
      <c r="O18" s="289"/>
      <c r="P18" s="289"/>
      <c r="Q18" s="289"/>
      <c r="R18" s="289"/>
      <c r="S18" s="289"/>
      <c r="T18" s="289"/>
    </row>
    <row r="19" s="306" customFormat="true" ht="16.5" hidden="false" customHeight="true" outlineLevel="0" collapsed="false">
      <c r="A19" s="281" t="s">
        <v>549</v>
      </c>
      <c r="B19" s="9"/>
      <c r="C19" s="9"/>
      <c r="D19" s="9"/>
      <c r="E19" s="9"/>
      <c r="F19" s="9"/>
      <c r="G19" s="9"/>
      <c r="H19" s="9"/>
      <c r="I19" s="9"/>
      <c r="J19" s="315" t="s">
        <v>550</v>
      </c>
      <c r="K19" s="315"/>
      <c r="L19" s="315"/>
      <c r="M19" s="315"/>
      <c r="N19" s="315"/>
      <c r="O19" s="315"/>
      <c r="P19" s="315"/>
      <c r="Q19" s="315"/>
      <c r="R19" s="315"/>
      <c r="S19" s="315"/>
      <c r="T19" s="315"/>
    </row>
    <row r="20" s="306" customFormat="true" ht="15.75" hidden="false" customHeight="true" outlineLevel="0" collapsed="false">
      <c r="A20" s="254" t="s">
        <v>551</v>
      </c>
      <c r="B20" s="254"/>
      <c r="C20" s="316"/>
      <c r="D20" s="316"/>
      <c r="E20" s="9"/>
      <c r="F20" s="9"/>
      <c r="G20" s="9"/>
      <c r="H20" s="9"/>
      <c r="I20" s="9"/>
      <c r="J20" s="317" t="s">
        <v>552</v>
      </c>
      <c r="K20" s="318" t="n">
        <v>1</v>
      </c>
      <c r="L20" s="318" t="n">
        <v>2</v>
      </c>
      <c r="M20" s="318" t="n">
        <v>3</v>
      </c>
      <c r="N20" s="318" t="n">
        <v>4</v>
      </c>
      <c r="O20" s="318" t="n">
        <v>5</v>
      </c>
      <c r="P20" s="318" t="n">
        <v>6</v>
      </c>
      <c r="Q20" s="318" t="n">
        <v>7</v>
      </c>
      <c r="R20" s="318" t="n">
        <v>8</v>
      </c>
      <c r="S20" s="318" t="n">
        <v>9</v>
      </c>
      <c r="T20" s="318" t="n">
        <v>10</v>
      </c>
    </row>
    <row r="21" s="306" customFormat="true" ht="15.75" hidden="false" customHeight="true" outlineLevel="0" collapsed="false">
      <c r="A21" s="254" t="s">
        <v>553</v>
      </c>
      <c r="B21" s="254" t="s">
        <v>554</v>
      </c>
      <c r="C21" s="254" t="s">
        <v>555</v>
      </c>
      <c r="D21" s="254" t="s">
        <v>556</v>
      </c>
      <c r="E21" s="9"/>
      <c r="F21" s="9"/>
      <c r="G21" s="9"/>
      <c r="H21" s="9"/>
      <c r="I21" s="9"/>
      <c r="J21" s="319" t="s">
        <v>557</v>
      </c>
      <c r="K21" s="320" t="n">
        <v>0</v>
      </c>
      <c r="L21" s="320" t="n">
        <v>0.0003</v>
      </c>
      <c r="M21" s="320" t="n">
        <v>0.0013</v>
      </c>
      <c r="N21" s="320" t="n">
        <v>0.0024</v>
      </c>
      <c r="O21" s="320" t="n">
        <v>0.0035</v>
      </c>
      <c r="P21" s="320" t="n">
        <v>0.0045</v>
      </c>
      <c r="Q21" s="320" t="n">
        <v>0.0051</v>
      </c>
      <c r="R21" s="320" t="n">
        <v>0.0059</v>
      </c>
      <c r="S21" s="320" t="n">
        <v>0.0064</v>
      </c>
      <c r="T21" s="320" t="n">
        <v>0.007</v>
      </c>
    </row>
    <row r="22" s="306" customFormat="true" ht="15.75" hidden="false" customHeight="true" outlineLevel="0" collapsed="false">
      <c r="A22" s="321" t="n">
        <v>-100000</v>
      </c>
      <c r="B22" s="321" t="n">
        <v>0.199999</v>
      </c>
      <c r="C22" s="321" t="s">
        <v>558</v>
      </c>
      <c r="D22" s="322" t="n">
        <v>0.19</v>
      </c>
      <c r="E22" s="9"/>
      <c r="F22" s="9"/>
      <c r="G22" s="9"/>
      <c r="H22" s="9"/>
      <c r="I22" s="9"/>
      <c r="J22" s="319" t="s">
        <v>559</v>
      </c>
      <c r="K22" s="320" t="n">
        <v>0.0002</v>
      </c>
      <c r="L22" s="320" t="n">
        <v>0.0006</v>
      </c>
      <c r="M22" s="320" t="n">
        <v>0.0012</v>
      </c>
      <c r="N22" s="320" t="n">
        <v>0.0021</v>
      </c>
      <c r="O22" s="320" t="n">
        <v>0.0031</v>
      </c>
      <c r="P22" s="320" t="n">
        <v>0.0042</v>
      </c>
      <c r="Q22" s="320" t="n">
        <v>0.005</v>
      </c>
      <c r="R22" s="320" t="n">
        <v>0.0058</v>
      </c>
      <c r="S22" s="320" t="n">
        <v>0.0065</v>
      </c>
      <c r="T22" s="320" t="n">
        <v>0.0072</v>
      </c>
    </row>
    <row r="23" s="306" customFormat="true" ht="15.75" hidden="false" customHeight="true" outlineLevel="0" collapsed="false">
      <c r="A23" s="321" t="n">
        <v>0.2</v>
      </c>
      <c r="B23" s="321" t="n">
        <v>0.649999</v>
      </c>
      <c r="C23" s="321" t="s">
        <v>560</v>
      </c>
      <c r="D23" s="322" t="n">
        <v>0.16</v>
      </c>
      <c r="E23" s="9"/>
      <c r="F23" s="321"/>
      <c r="G23" s="9"/>
      <c r="H23" s="9"/>
      <c r="I23" s="9"/>
      <c r="J23" s="319" t="s">
        <v>561</v>
      </c>
      <c r="K23" s="320" t="n">
        <v>0.0005</v>
      </c>
      <c r="L23" s="320" t="n">
        <v>0.0014</v>
      </c>
      <c r="M23" s="320" t="n">
        <v>0.0023</v>
      </c>
      <c r="N23" s="320" t="n">
        <v>0.0035</v>
      </c>
      <c r="O23" s="320" t="n">
        <v>0.0047</v>
      </c>
      <c r="P23" s="320" t="n">
        <v>0.0062</v>
      </c>
      <c r="Q23" s="320" t="n">
        <v>0.0079</v>
      </c>
      <c r="R23" s="320" t="n">
        <v>0.0093</v>
      </c>
      <c r="S23" s="320" t="n">
        <v>0.0108</v>
      </c>
      <c r="T23" s="320" t="n">
        <v>0.0124</v>
      </c>
    </row>
    <row r="24" s="306" customFormat="true" ht="15.75" hidden="false" customHeight="true" outlineLevel="0" collapsed="false">
      <c r="A24" s="321" t="n">
        <v>0.65</v>
      </c>
      <c r="B24" s="321" t="n">
        <v>0.799999</v>
      </c>
      <c r="C24" s="321" t="s">
        <v>562</v>
      </c>
      <c r="D24" s="322" t="n">
        <v>0.126101</v>
      </c>
      <c r="E24" s="9"/>
      <c r="F24" s="9"/>
      <c r="G24" s="9"/>
      <c r="H24" s="9"/>
      <c r="I24" s="9"/>
      <c r="J24" s="319" t="s">
        <v>563</v>
      </c>
      <c r="K24" s="320" t="n">
        <v>0.0016</v>
      </c>
      <c r="L24" s="320" t="n">
        <v>0.0045</v>
      </c>
      <c r="M24" s="320" t="n">
        <v>0.0078</v>
      </c>
      <c r="N24" s="320" t="n">
        <v>0.0117</v>
      </c>
      <c r="O24" s="320" t="n">
        <v>0.0158</v>
      </c>
      <c r="P24" s="320" t="n">
        <v>0.0198</v>
      </c>
      <c r="Q24" s="320" t="n">
        <v>0.0233</v>
      </c>
      <c r="R24" s="320" t="n">
        <v>0.0267</v>
      </c>
      <c r="S24" s="320" t="n">
        <v>0.03</v>
      </c>
      <c r="T24" s="320" t="n">
        <v>0.0332</v>
      </c>
    </row>
    <row r="25" s="306" customFormat="true" ht="15.75" hidden="false" customHeight="true" outlineLevel="0" collapsed="false">
      <c r="A25" s="321" t="n">
        <v>0.8</v>
      </c>
      <c r="B25" s="321" t="n">
        <v>1.249999</v>
      </c>
      <c r="C25" s="321" t="s">
        <v>564</v>
      </c>
      <c r="D25" s="322" t="n">
        <v>0.0885</v>
      </c>
      <c r="E25" s="9"/>
      <c r="F25" s="9"/>
      <c r="G25" s="9"/>
      <c r="H25" s="9"/>
      <c r="I25" s="9"/>
      <c r="J25" s="319" t="s">
        <v>565</v>
      </c>
      <c r="K25" s="320" t="n">
        <v>0.0061</v>
      </c>
      <c r="L25" s="320" t="n">
        <v>0.0192</v>
      </c>
      <c r="M25" s="320" t="n">
        <v>0.0348</v>
      </c>
      <c r="N25" s="320" t="n">
        <v>0.0505</v>
      </c>
      <c r="O25" s="320" t="n">
        <v>0.0652</v>
      </c>
      <c r="P25" s="320" t="n">
        <v>0.0785</v>
      </c>
      <c r="Q25" s="320" t="n">
        <v>0.0901</v>
      </c>
      <c r="R25" s="320" t="n">
        <v>0.1004</v>
      </c>
      <c r="S25" s="320" t="n">
        <v>0.1097</v>
      </c>
      <c r="T25" s="320" t="n">
        <v>0.1178</v>
      </c>
    </row>
    <row r="26" s="306" customFormat="true" ht="15.75" hidden="false" customHeight="true" outlineLevel="0" collapsed="false">
      <c r="A26" s="321" t="n">
        <v>1.25</v>
      </c>
      <c r="B26" s="321" t="n">
        <v>1.499999</v>
      </c>
      <c r="C26" s="321" t="s">
        <v>566</v>
      </c>
      <c r="D26" s="322" t="n">
        <v>0.050899</v>
      </c>
      <c r="E26" s="9"/>
      <c r="F26" s="9"/>
      <c r="G26" s="9"/>
      <c r="H26" s="9"/>
      <c r="I26" s="9"/>
      <c r="J26" s="319" t="s">
        <v>567</v>
      </c>
      <c r="K26" s="320" t="n">
        <v>0.0333</v>
      </c>
      <c r="L26" s="320" t="n">
        <v>0.0771</v>
      </c>
      <c r="M26" s="320" t="n">
        <v>0.1155</v>
      </c>
      <c r="N26" s="320" t="n">
        <v>0.1458</v>
      </c>
      <c r="O26" s="320" t="n">
        <v>0.1693</v>
      </c>
      <c r="P26" s="320" t="n">
        <v>0.1883</v>
      </c>
      <c r="Q26" s="320" t="n">
        <v>0.2036</v>
      </c>
      <c r="R26" s="320" t="n">
        <v>0.216</v>
      </c>
      <c r="S26" s="320" t="n">
        <v>0.227</v>
      </c>
      <c r="T26" s="320" t="n">
        <v>0.2374</v>
      </c>
    </row>
    <row r="27" s="306" customFormat="true" ht="15.75" hidden="false" customHeight="true" outlineLevel="0" collapsed="false">
      <c r="A27" s="321" t="n">
        <v>1.5</v>
      </c>
      <c r="B27" s="321" t="n">
        <v>1.749999</v>
      </c>
      <c r="C27" s="321" t="s">
        <v>568</v>
      </c>
      <c r="D27" s="322" t="n">
        <v>0.032098</v>
      </c>
      <c r="E27" s="9"/>
      <c r="F27" s="9"/>
      <c r="G27" s="9"/>
      <c r="H27" s="9"/>
      <c r="I27" s="9"/>
      <c r="J27" s="319" t="s">
        <v>569</v>
      </c>
      <c r="K27" s="320" t="n">
        <v>0.2708</v>
      </c>
      <c r="L27" s="320" t="n">
        <v>0.3664</v>
      </c>
      <c r="M27" s="320" t="n">
        <v>0.4141</v>
      </c>
      <c r="N27" s="320" t="n">
        <v>0.441</v>
      </c>
      <c r="O27" s="320" t="n">
        <v>0.4619</v>
      </c>
      <c r="P27" s="320" t="n">
        <v>0.4709</v>
      </c>
      <c r="Q27" s="320" t="n">
        <v>0.4826</v>
      </c>
      <c r="R27" s="320" t="n">
        <v>0.4905</v>
      </c>
      <c r="S27" s="320" t="n">
        <v>0.4976</v>
      </c>
      <c r="T27" s="320" t="n">
        <v>0.5038</v>
      </c>
    </row>
    <row r="28" s="306" customFormat="true" ht="15.75" hidden="false" customHeight="true" outlineLevel="0" collapsed="false">
      <c r="A28" s="321" t="n">
        <v>1.75</v>
      </c>
      <c r="B28" s="321" t="n">
        <v>1.999999</v>
      </c>
      <c r="C28" s="321" t="s">
        <v>570</v>
      </c>
      <c r="D28" s="322" t="n">
        <v>0.027531</v>
      </c>
      <c r="E28" s="9"/>
      <c r="F28" s="9"/>
      <c r="G28" s="9"/>
      <c r="H28" s="9"/>
      <c r="I28" s="9"/>
      <c r="J28" s="9"/>
      <c r="K28" s="9"/>
      <c r="L28" s="9"/>
      <c r="M28" s="9"/>
      <c r="N28" s="9"/>
      <c r="O28" s="9"/>
      <c r="P28" s="9"/>
      <c r="Q28" s="9"/>
      <c r="R28" s="9"/>
      <c r="S28" s="9"/>
      <c r="T28" s="9"/>
    </row>
    <row r="29" s="306" customFormat="true" ht="15.75" hidden="false" customHeight="true" outlineLevel="0" collapsed="false">
      <c r="A29" s="321" t="n">
        <v>2</v>
      </c>
      <c r="B29" s="321" t="n">
        <v>2.2499999</v>
      </c>
      <c r="C29" s="321" t="s">
        <v>571</v>
      </c>
      <c r="D29" s="322" t="n">
        <v>0.018395</v>
      </c>
      <c r="E29" s="9"/>
      <c r="F29" s="9"/>
      <c r="G29" s="9"/>
      <c r="H29" s="9"/>
      <c r="I29" s="9"/>
      <c r="J29" s="9"/>
      <c r="K29" s="9"/>
      <c r="L29" s="9"/>
      <c r="M29" s="9"/>
      <c r="N29" s="9"/>
      <c r="O29" s="9"/>
      <c r="P29" s="9"/>
      <c r="Q29" s="9"/>
      <c r="R29" s="9"/>
      <c r="S29" s="9"/>
      <c r="T29" s="9"/>
    </row>
    <row r="30" s="306" customFormat="true" ht="15.75" hidden="false" customHeight="true" outlineLevel="0" collapsed="false">
      <c r="A30" s="321" t="n">
        <v>2.25</v>
      </c>
      <c r="B30" s="321" t="n">
        <v>2.49999</v>
      </c>
      <c r="C30" s="321" t="s">
        <v>572</v>
      </c>
      <c r="D30" s="322" t="n">
        <v>0.013828</v>
      </c>
      <c r="E30" s="9"/>
      <c r="F30" s="9"/>
      <c r="G30" s="9"/>
      <c r="H30" s="9"/>
      <c r="I30" s="9"/>
      <c r="J30" s="9"/>
      <c r="K30" s="9"/>
      <c r="L30" s="9"/>
      <c r="M30" s="9"/>
      <c r="N30" s="9"/>
      <c r="O30" s="9"/>
      <c r="P30" s="9"/>
      <c r="Q30" s="9"/>
      <c r="R30" s="9"/>
      <c r="S30" s="9"/>
      <c r="T30" s="9"/>
    </row>
    <row r="31" s="306" customFormat="true" ht="15.75" hidden="false" customHeight="true" outlineLevel="0" collapsed="false">
      <c r="A31" s="321" t="n">
        <v>2.5</v>
      </c>
      <c r="B31" s="321" t="n">
        <v>2.999999</v>
      </c>
      <c r="C31" s="321" t="s">
        <v>152</v>
      </c>
      <c r="D31" s="322" t="n">
        <v>0.011113</v>
      </c>
      <c r="E31" s="9"/>
      <c r="F31" s="9"/>
      <c r="G31" s="9"/>
      <c r="H31" s="9"/>
      <c r="I31" s="9"/>
      <c r="J31" s="9"/>
      <c r="K31" s="9"/>
      <c r="L31" s="9"/>
      <c r="M31" s="9"/>
      <c r="N31" s="9"/>
      <c r="O31" s="9"/>
      <c r="P31" s="9"/>
      <c r="Q31" s="9"/>
      <c r="R31" s="9"/>
      <c r="S31" s="9"/>
      <c r="T31" s="9"/>
    </row>
    <row r="32" s="306" customFormat="true" ht="15.75" hidden="false" customHeight="true" outlineLevel="0" collapsed="false">
      <c r="A32" s="321" t="n">
        <v>3</v>
      </c>
      <c r="B32" s="321" t="n">
        <v>4.249999</v>
      </c>
      <c r="C32" s="321" t="s">
        <v>573</v>
      </c>
      <c r="D32" s="322" t="n">
        <v>0.008872</v>
      </c>
      <c r="E32" s="9"/>
      <c r="F32" s="9"/>
      <c r="G32" s="9"/>
      <c r="H32" s="9"/>
      <c r="I32" s="9"/>
      <c r="J32" s="9"/>
      <c r="K32" s="9"/>
      <c r="L32" s="9"/>
      <c r="M32" s="9"/>
      <c r="N32" s="9"/>
      <c r="O32" s="9"/>
      <c r="P32" s="9"/>
      <c r="Q32" s="9"/>
      <c r="R32" s="9"/>
      <c r="S32" s="9"/>
      <c r="T32" s="9"/>
    </row>
    <row r="33" s="306" customFormat="true" ht="15.75" hidden="false" customHeight="true" outlineLevel="0" collapsed="false">
      <c r="A33" s="321" t="n">
        <v>4.25</v>
      </c>
      <c r="B33" s="321" t="n">
        <v>5.499999</v>
      </c>
      <c r="C33" s="321" t="s">
        <v>574</v>
      </c>
      <c r="D33" s="322" t="n">
        <v>0.007751</v>
      </c>
      <c r="E33" s="9"/>
      <c r="F33" s="9"/>
      <c r="G33" s="9"/>
      <c r="H33" s="9"/>
      <c r="I33" s="9"/>
      <c r="J33" s="9"/>
      <c r="K33" s="9"/>
      <c r="L33" s="9"/>
      <c r="M33" s="9"/>
      <c r="N33" s="9"/>
      <c r="O33" s="9"/>
      <c r="P33" s="9"/>
      <c r="Q33" s="9"/>
      <c r="R33" s="9"/>
      <c r="S33" s="9"/>
      <c r="T33" s="9"/>
    </row>
    <row r="34" s="306" customFormat="true" ht="15.75" hidden="false" customHeight="true" outlineLevel="0" collapsed="false">
      <c r="A34" s="321" t="n">
        <v>5.5</v>
      </c>
      <c r="B34" s="321" t="n">
        <v>6.499999</v>
      </c>
      <c r="C34" s="321" t="s">
        <v>575</v>
      </c>
      <c r="D34" s="322" t="n">
        <v>0.007003</v>
      </c>
      <c r="E34" s="9"/>
      <c r="F34" s="9"/>
      <c r="G34" s="9"/>
      <c r="H34" s="9"/>
      <c r="I34" s="9"/>
      <c r="J34" s="9"/>
      <c r="K34" s="9"/>
      <c r="L34" s="9"/>
      <c r="M34" s="9"/>
      <c r="N34" s="9"/>
      <c r="O34" s="9"/>
      <c r="P34" s="9"/>
      <c r="Q34" s="9"/>
      <c r="R34" s="9"/>
      <c r="S34" s="9"/>
      <c r="T34" s="9"/>
    </row>
    <row r="35" s="306" customFormat="true" ht="15.75" hidden="false" customHeight="true" outlineLevel="0" collapsed="false">
      <c r="A35" s="321" t="n">
        <v>6.5</v>
      </c>
      <c r="B35" s="321" t="n">
        <v>8.499999</v>
      </c>
      <c r="C35" s="321" t="s">
        <v>576</v>
      </c>
      <c r="D35" s="322" t="n">
        <v>0.005506</v>
      </c>
      <c r="E35" s="9"/>
      <c r="F35" s="9"/>
      <c r="G35" s="9"/>
      <c r="H35" s="9"/>
      <c r="I35" s="9"/>
      <c r="J35" s="9"/>
      <c r="K35" s="9"/>
      <c r="L35" s="9"/>
      <c r="M35" s="9"/>
      <c r="N35" s="9"/>
      <c r="O35" s="9"/>
      <c r="P35" s="9"/>
      <c r="Q35" s="9"/>
      <c r="R35" s="9"/>
      <c r="S35" s="9"/>
      <c r="T35" s="9"/>
    </row>
    <row r="36" s="306" customFormat="true" ht="15.75" hidden="false" customHeight="true" outlineLevel="0" collapsed="false">
      <c r="A36" s="291" t="n">
        <v>8.5</v>
      </c>
      <c r="B36" s="321" t="n">
        <v>100000</v>
      </c>
      <c r="C36" s="321" t="s">
        <v>577</v>
      </c>
      <c r="D36" s="322" t="n">
        <v>0.004</v>
      </c>
      <c r="E36" s="9"/>
      <c r="F36" s="9"/>
      <c r="G36" s="9"/>
      <c r="H36" s="9"/>
      <c r="I36" s="9"/>
      <c r="J36" s="9"/>
      <c r="K36" s="9"/>
      <c r="L36" s="9"/>
      <c r="M36" s="9"/>
      <c r="N36" s="9"/>
      <c r="O36" s="9"/>
      <c r="P36" s="9"/>
      <c r="Q36" s="9"/>
      <c r="R36" s="9"/>
      <c r="S36" s="9"/>
      <c r="T36" s="9"/>
    </row>
    <row r="37" s="306" customFormat="true" ht="15.75" hidden="false" customHeight="true" outlineLevel="0" collapsed="false">
      <c r="A37" s="9"/>
      <c r="B37" s="9"/>
      <c r="C37" s="9"/>
      <c r="D37" s="9"/>
      <c r="E37" s="9"/>
      <c r="F37" s="9"/>
      <c r="G37" s="9"/>
      <c r="H37" s="9"/>
      <c r="I37" s="9"/>
      <c r="J37" s="9"/>
      <c r="K37" s="9"/>
      <c r="L37" s="9"/>
      <c r="M37" s="9"/>
      <c r="N37" s="9"/>
      <c r="O37" s="9"/>
      <c r="P37" s="9"/>
      <c r="Q37" s="9"/>
      <c r="R37" s="9"/>
      <c r="S37" s="9"/>
      <c r="T37" s="9"/>
    </row>
    <row r="38" s="306" customFormat="true" ht="15.75" hidden="false" customHeight="true" outlineLevel="0" collapsed="false">
      <c r="A38" s="281" t="s">
        <v>578</v>
      </c>
      <c r="B38" s="9"/>
      <c r="C38" s="9"/>
      <c r="D38" s="9"/>
      <c r="E38" s="9"/>
      <c r="F38" s="9"/>
      <c r="G38" s="9"/>
      <c r="H38" s="9"/>
      <c r="I38" s="9"/>
      <c r="J38" s="9"/>
      <c r="K38" s="9"/>
      <c r="L38" s="9"/>
      <c r="M38" s="9"/>
      <c r="N38" s="9"/>
      <c r="O38" s="9"/>
      <c r="P38" s="9"/>
      <c r="Q38" s="9"/>
      <c r="R38" s="9"/>
      <c r="S38" s="9"/>
      <c r="T38" s="9"/>
    </row>
    <row r="39" s="306" customFormat="true" ht="15.75" hidden="false" customHeight="true" outlineLevel="0" collapsed="false">
      <c r="A39" s="254" t="s">
        <v>551</v>
      </c>
      <c r="B39" s="254"/>
      <c r="C39" s="321"/>
      <c r="D39" s="321"/>
      <c r="E39" s="9"/>
      <c r="F39" s="9"/>
      <c r="G39" s="9"/>
      <c r="H39" s="9"/>
      <c r="I39" s="9"/>
      <c r="J39" s="9"/>
      <c r="K39" s="9"/>
      <c r="L39" s="9"/>
      <c r="M39" s="9"/>
      <c r="N39" s="9"/>
      <c r="O39" s="9"/>
      <c r="P39" s="9"/>
      <c r="Q39" s="9"/>
      <c r="R39" s="9"/>
      <c r="S39" s="9"/>
      <c r="T39" s="9"/>
    </row>
    <row r="40" s="306" customFormat="true" ht="15.75" hidden="false" customHeight="true" outlineLevel="0" collapsed="false">
      <c r="A40" s="321" t="s">
        <v>579</v>
      </c>
      <c r="B40" s="321" t="s">
        <v>554</v>
      </c>
      <c r="C40" s="321" t="s">
        <v>555</v>
      </c>
      <c r="D40" s="321" t="s">
        <v>556</v>
      </c>
      <c r="E40" s="9"/>
      <c r="F40" s="9"/>
      <c r="G40" s="9"/>
      <c r="H40" s="9"/>
      <c r="I40" s="9"/>
      <c r="J40" s="9"/>
      <c r="K40" s="9"/>
      <c r="L40" s="9"/>
      <c r="M40" s="9"/>
      <c r="N40" s="9"/>
      <c r="O40" s="9"/>
      <c r="P40" s="9"/>
      <c r="Q40" s="9"/>
      <c r="R40" s="9"/>
      <c r="S40" s="9"/>
      <c r="T40" s="9"/>
    </row>
    <row r="41" s="306" customFormat="true" ht="15.75" hidden="false" customHeight="true" outlineLevel="0" collapsed="false">
      <c r="A41" s="321" t="n">
        <v>-100000</v>
      </c>
      <c r="B41" s="321" t="n">
        <v>0.499999</v>
      </c>
      <c r="C41" s="321" t="s">
        <v>558</v>
      </c>
      <c r="D41" s="322" t="n">
        <v>0.19</v>
      </c>
      <c r="E41" s="9"/>
      <c r="F41" s="9"/>
      <c r="G41" s="254" t="s">
        <v>555</v>
      </c>
      <c r="H41" s="254" t="s">
        <v>556</v>
      </c>
      <c r="I41" s="9"/>
      <c r="J41" s="9"/>
      <c r="K41" s="9"/>
      <c r="L41" s="254"/>
      <c r="M41" s="254"/>
      <c r="N41" s="9"/>
      <c r="O41" s="9"/>
      <c r="P41" s="9"/>
      <c r="Q41" s="9"/>
      <c r="R41" s="9"/>
      <c r="S41" s="9"/>
      <c r="T41" s="9"/>
    </row>
    <row r="42" s="306" customFormat="true" ht="15.75" hidden="false" customHeight="true" outlineLevel="0" collapsed="false">
      <c r="A42" s="321" t="n">
        <v>0.5</v>
      </c>
      <c r="B42" s="321" t="n">
        <v>0.799999</v>
      </c>
      <c r="C42" s="321" t="s">
        <v>560</v>
      </c>
      <c r="D42" s="322" t="n">
        <v>0.16</v>
      </c>
      <c r="E42" s="9"/>
      <c r="F42" s="9"/>
      <c r="G42" s="321" t="s">
        <v>575</v>
      </c>
      <c r="H42" s="322" t="n">
        <v>0.007003</v>
      </c>
      <c r="I42" s="9"/>
      <c r="J42" s="9"/>
      <c r="K42" s="9"/>
      <c r="L42" s="321"/>
      <c r="M42" s="322"/>
      <c r="N42" s="9"/>
      <c r="O42" s="9"/>
      <c r="P42" s="9"/>
      <c r="Q42" s="9"/>
      <c r="R42" s="9"/>
      <c r="S42" s="9"/>
      <c r="T42" s="9"/>
    </row>
    <row r="43" s="306" customFormat="true" ht="15.75" hidden="false" customHeight="true" outlineLevel="0" collapsed="false">
      <c r="A43" s="321" t="n">
        <v>0.8</v>
      </c>
      <c r="B43" s="321" t="n">
        <v>1.249999</v>
      </c>
      <c r="C43" s="321" t="s">
        <v>562</v>
      </c>
      <c r="D43" s="322" t="n">
        <v>0.126101</v>
      </c>
      <c r="E43" s="9"/>
      <c r="F43" s="9"/>
      <c r="G43" s="321" t="s">
        <v>574</v>
      </c>
      <c r="H43" s="322" t="n">
        <v>0.007751</v>
      </c>
      <c r="I43" s="9"/>
      <c r="J43" s="9"/>
      <c r="K43" s="9"/>
      <c r="L43" s="321"/>
      <c r="M43" s="322"/>
      <c r="N43" s="9"/>
      <c r="O43" s="9"/>
      <c r="P43" s="9"/>
      <c r="Q43" s="9"/>
      <c r="R43" s="9"/>
      <c r="S43" s="9"/>
      <c r="T43" s="9"/>
    </row>
    <row r="44" s="306" customFormat="true" ht="15.75" hidden="false" customHeight="true" outlineLevel="0" collapsed="false">
      <c r="A44" s="321" t="n">
        <v>1.25</v>
      </c>
      <c r="B44" s="321" t="n">
        <v>1.499999</v>
      </c>
      <c r="C44" s="321" t="s">
        <v>564</v>
      </c>
      <c r="D44" s="322" t="n">
        <v>0.0885</v>
      </c>
      <c r="E44" s="9"/>
      <c r="F44" s="9"/>
      <c r="G44" s="321" t="s">
        <v>573</v>
      </c>
      <c r="H44" s="322" t="n">
        <v>0.008872</v>
      </c>
      <c r="I44" s="9"/>
      <c r="J44" s="9"/>
      <c r="K44" s="9"/>
      <c r="L44" s="321"/>
      <c r="M44" s="322"/>
      <c r="N44" s="9"/>
      <c r="O44" s="9"/>
      <c r="P44" s="9"/>
      <c r="Q44" s="9"/>
      <c r="R44" s="9"/>
      <c r="S44" s="9"/>
      <c r="T44" s="9"/>
    </row>
    <row r="45" s="306" customFormat="true" ht="15.75" hidden="false" customHeight="true" outlineLevel="0" collapsed="false">
      <c r="A45" s="321" t="n">
        <v>1.5</v>
      </c>
      <c r="B45" s="321" t="n">
        <v>1.999999</v>
      </c>
      <c r="C45" s="321" t="s">
        <v>566</v>
      </c>
      <c r="D45" s="322" t="n">
        <v>0.050899</v>
      </c>
      <c r="E45" s="9"/>
      <c r="F45" s="9"/>
      <c r="G45" s="321" t="s">
        <v>576</v>
      </c>
      <c r="H45" s="322" t="n">
        <v>0.005506</v>
      </c>
      <c r="I45" s="9"/>
      <c r="J45" s="9"/>
      <c r="K45" s="9"/>
      <c r="L45" s="321"/>
      <c r="M45" s="322"/>
      <c r="N45" s="9"/>
      <c r="O45" s="9"/>
      <c r="P45" s="9"/>
      <c r="Q45" s="9"/>
      <c r="R45" s="9"/>
      <c r="S45" s="9"/>
      <c r="T45" s="9"/>
    </row>
    <row r="46" s="306" customFormat="true" ht="15.75" hidden="false" customHeight="true" outlineLevel="0" collapsed="false">
      <c r="A46" s="321" t="n">
        <v>2</v>
      </c>
      <c r="B46" s="321" t="n">
        <v>2.499999</v>
      </c>
      <c r="C46" s="321" t="s">
        <v>568</v>
      </c>
      <c r="D46" s="322" t="n">
        <v>0.032098</v>
      </c>
      <c r="E46" s="9"/>
      <c r="F46" s="9"/>
      <c r="G46" s="321" t="s">
        <v>577</v>
      </c>
      <c r="H46" s="322" t="n">
        <v>0.004</v>
      </c>
      <c r="I46" s="9"/>
      <c r="J46" s="9"/>
      <c r="K46" s="9"/>
      <c r="L46" s="321"/>
      <c r="M46" s="322"/>
      <c r="N46" s="9"/>
      <c r="O46" s="9"/>
      <c r="P46" s="9"/>
      <c r="Q46" s="9"/>
      <c r="R46" s="9"/>
      <c r="S46" s="9"/>
      <c r="T46" s="9"/>
    </row>
    <row r="47" s="306" customFormat="true" ht="15.75" hidden="false" customHeight="true" outlineLevel="0" collapsed="false">
      <c r="A47" s="321" t="n">
        <v>2.5</v>
      </c>
      <c r="B47" s="321" t="n">
        <v>2.999999</v>
      </c>
      <c r="C47" s="321" t="s">
        <v>570</v>
      </c>
      <c r="D47" s="322" t="n">
        <v>0.027531</v>
      </c>
      <c r="E47" s="9"/>
      <c r="F47" s="9"/>
      <c r="G47" s="321" t="s">
        <v>570</v>
      </c>
      <c r="H47" s="322" t="n">
        <v>0.027531</v>
      </c>
      <c r="I47" s="9"/>
      <c r="J47" s="9"/>
      <c r="K47" s="9"/>
      <c r="L47" s="321"/>
      <c r="M47" s="322"/>
      <c r="N47" s="9"/>
      <c r="O47" s="9"/>
      <c r="P47" s="9"/>
      <c r="Q47" s="9"/>
      <c r="R47" s="9"/>
      <c r="S47" s="9"/>
      <c r="T47" s="9"/>
    </row>
    <row r="48" s="306" customFormat="true" ht="15.75" hidden="false" customHeight="true" outlineLevel="0" collapsed="false">
      <c r="A48" s="321" t="n">
        <v>3</v>
      </c>
      <c r="B48" s="321" t="n">
        <v>3.499999</v>
      </c>
      <c r="C48" s="321" t="s">
        <v>571</v>
      </c>
      <c r="D48" s="322" t="n">
        <v>0.018395</v>
      </c>
      <c r="E48" s="9"/>
      <c r="F48" s="9"/>
      <c r="G48" s="321" t="s">
        <v>568</v>
      </c>
      <c r="H48" s="322" t="n">
        <v>0.032098</v>
      </c>
      <c r="I48" s="9"/>
      <c r="J48" s="9"/>
      <c r="K48" s="9"/>
      <c r="L48" s="321"/>
      <c r="M48" s="322"/>
      <c r="N48" s="9"/>
      <c r="O48" s="9"/>
      <c r="P48" s="9"/>
      <c r="Q48" s="9"/>
      <c r="R48" s="9"/>
      <c r="S48" s="9"/>
      <c r="T48" s="9"/>
    </row>
    <row r="49" s="306" customFormat="true" ht="15.75" hidden="false" customHeight="true" outlineLevel="0" collapsed="false">
      <c r="A49" s="321" t="n">
        <v>3.5</v>
      </c>
      <c r="B49" s="321" t="n">
        <v>3.9999999</v>
      </c>
      <c r="C49" s="321" t="s">
        <v>572</v>
      </c>
      <c r="D49" s="322" t="n">
        <v>0.013828</v>
      </c>
      <c r="E49" s="9"/>
      <c r="F49" s="9"/>
      <c r="G49" s="321" t="s">
        <v>566</v>
      </c>
      <c r="H49" s="322" t="n">
        <v>0.050899</v>
      </c>
      <c r="I49" s="9"/>
      <c r="J49" s="9"/>
      <c r="K49" s="9"/>
      <c r="L49" s="321"/>
      <c r="M49" s="322"/>
      <c r="N49" s="9"/>
      <c r="O49" s="9"/>
      <c r="P49" s="9"/>
      <c r="Q49" s="9"/>
      <c r="R49" s="9"/>
      <c r="S49" s="9"/>
      <c r="T49" s="9"/>
    </row>
    <row r="50" s="306" customFormat="true" ht="15.75" hidden="false" customHeight="true" outlineLevel="0" collapsed="false">
      <c r="A50" s="321" t="n">
        <v>4</v>
      </c>
      <c r="B50" s="321" t="n">
        <v>4.499999</v>
      </c>
      <c r="C50" s="321" t="s">
        <v>152</v>
      </c>
      <c r="D50" s="322" t="n">
        <v>0.011113</v>
      </c>
      <c r="E50" s="9"/>
      <c r="F50" s="9"/>
      <c r="G50" s="321" t="s">
        <v>572</v>
      </c>
      <c r="H50" s="322" t="n">
        <v>0.013828</v>
      </c>
      <c r="I50" s="9"/>
      <c r="J50" s="9"/>
      <c r="K50" s="9"/>
      <c r="L50" s="321"/>
      <c r="M50" s="322"/>
      <c r="N50" s="9"/>
      <c r="O50" s="9"/>
      <c r="P50" s="9"/>
      <c r="Q50" s="9"/>
      <c r="R50" s="9"/>
      <c r="S50" s="9"/>
      <c r="T50" s="9"/>
    </row>
    <row r="51" s="306" customFormat="true" ht="15.75" hidden="false" customHeight="true" outlineLevel="0" collapsed="false">
      <c r="A51" s="321" t="n">
        <v>4.5</v>
      </c>
      <c r="B51" s="321" t="n">
        <v>5.999999</v>
      </c>
      <c r="C51" s="321" t="s">
        <v>573</v>
      </c>
      <c r="D51" s="322" t="n">
        <v>0.008872</v>
      </c>
      <c r="E51" s="9"/>
      <c r="F51" s="9"/>
      <c r="G51" s="321" t="s">
        <v>571</v>
      </c>
      <c r="H51" s="322" t="n">
        <v>0.018395</v>
      </c>
      <c r="I51" s="9"/>
      <c r="J51" s="9"/>
      <c r="K51" s="9"/>
      <c r="L51" s="321"/>
      <c r="M51" s="322"/>
      <c r="N51" s="9"/>
      <c r="O51" s="9"/>
      <c r="P51" s="9"/>
      <c r="Q51" s="9"/>
      <c r="R51" s="9"/>
      <c r="S51" s="9"/>
      <c r="T51" s="9"/>
    </row>
    <row r="52" s="306" customFormat="true" ht="15.75" hidden="false" customHeight="true" outlineLevel="0" collapsed="false">
      <c r="A52" s="321" t="n">
        <v>6</v>
      </c>
      <c r="B52" s="321" t="n">
        <v>7.499999</v>
      </c>
      <c r="C52" s="321" t="s">
        <v>574</v>
      </c>
      <c r="D52" s="322" t="n">
        <v>0.007751</v>
      </c>
      <c r="E52" s="9"/>
      <c r="F52" s="9"/>
      <c r="G52" s="321" t="s">
        <v>152</v>
      </c>
      <c r="H52" s="322" t="n">
        <v>0.011113</v>
      </c>
      <c r="I52" s="9"/>
      <c r="J52" s="9"/>
      <c r="K52" s="9"/>
      <c r="L52" s="321"/>
      <c r="M52" s="322"/>
      <c r="N52" s="9"/>
      <c r="O52" s="9"/>
      <c r="P52" s="9"/>
      <c r="Q52" s="9"/>
      <c r="R52" s="9"/>
      <c r="S52" s="9"/>
      <c r="T52" s="9"/>
    </row>
    <row r="53" s="306" customFormat="true" ht="15.75" hidden="false" customHeight="true" outlineLevel="0" collapsed="false">
      <c r="A53" s="321" t="n">
        <v>7.5</v>
      </c>
      <c r="B53" s="321" t="n">
        <v>9.499999</v>
      </c>
      <c r="C53" s="321" t="s">
        <v>575</v>
      </c>
      <c r="D53" s="322" t="n">
        <v>0.007003</v>
      </c>
      <c r="E53" s="9"/>
      <c r="F53" s="9"/>
      <c r="G53" s="321" t="s">
        <v>560</v>
      </c>
      <c r="H53" s="322" t="n">
        <v>0.16</v>
      </c>
      <c r="I53" s="9"/>
      <c r="J53" s="9"/>
      <c r="K53" s="9"/>
      <c r="L53" s="321"/>
      <c r="M53" s="322"/>
      <c r="N53" s="9"/>
      <c r="O53" s="9"/>
      <c r="P53" s="9"/>
      <c r="Q53" s="9"/>
      <c r="R53" s="9"/>
      <c r="S53" s="9"/>
      <c r="T53" s="9"/>
    </row>
    <row r="54" customFormat="false" ht="15.75" hidden="false" customHeight="true" outlineLevel="0" collapsed="false">
      <c r="A54" s="321" t="n">
        <v>9.5</v>
      </c>
      <c r="B54" s="321" t="n">
        <v>12.499999</v>
      </c>
      <c r="C54" s="321" t="s">
        <v>576</v>
      </c>
      <c r="D54" s="322" t="n">
        <v>0.005506</v>
      </c>
      <c r="G54" s="321" t="s">
        <v>562</v>
      </c>
      <c r="H54" s="322" t="n">
        <v>0.126101</v>
      </c>
      <c r="L54" s="321"/>
      <c r="M54" s="322"/>
      <c r="U54" s="306"/>
      <c r="V54" s="306"/>
      <c r="W54" s="306"/>
      <c r="X54" s="306"/>
      <c r="Y54" s="306"/>
    </row>
    <row r="55" customFormat="false" ht="15.75" hidden="false" customHeight="true" outlineLevel="0" collapsed="false">
      <c r="A55" s="321" t="n">
        <v>12.5</v>
      </c>
      <c r="B55" s="321" t="n">
        <v>100000</v>
      </c>
      <c r="C55" s="321" t="s">
        <v>577</v>
      </c>
      <c r="D55" s="322" t="n">
        <v>0.004</v>
      </c>
      <c r="G55" s="321" t="s">
        <v>564</v>
      </c>
      <c r="H55" s="322" t="n">
        <v>0.0885</v>
      </c>
      <c r="L55" s="321"/>
      <c r="M55" s="322"/>
      <c r="U55" s="306"/>
      <c r="V55" s="306"/>
      <c r="W55" s="306"/>
      <c r="X55" s="306"/>
      <c r="Y55" s="306"/>
    </row>
    <row r="56" customFormat="false" ht="15.75" hidden="false" customHeight="true" outlineLevel="0" collapsed="false">
      <c r="G56" s="321" t="s">
        <v>558</v>
      </c>
      <c r="H56" s="322" t="n">
        <v>0.19</v>
      </c>
      <c r="L56" s="321"/>
      <c r="M56" s="322"/>
      <c r="U56" s="306"/>
      <c r="V56" s="306"/>
      <c r="W56" s="306"/>
      <c r="X56" s="306"/>
      <c r="Y56" s="306"/>
    </row>
    <row r="57" customFormat="false" ht="15.75" hidden="false" customHeight="true" outlineLevel="0" collapsed="false">
      <c r="U57" s="306"/>
      <c r="V57" s="306"/>
      <c r="W57" s="306"/>
      <c r="X57" s="306"/>
      <c r="Y57" s="306"/>
    </row>
    <row r="58" customFormat="false" ht="15.75" hidden="false" customHeight="true" outlineLevel="0" collapsed="false">
      <c r="U58" s="306"/>
      <c r="V58" s="306"/>
      <c r="W58" s="306"/>
      <c r="X58" s="306"/>
      <c r="Y58" s="306"/>
    </row>
    <row r="59" customFormat="false" ht="15.75" hidden="false" customHeight="true" outlineLevel="0" collapsed="false">
      <c r="U59" s="306"/>
      <c r="V59" s="306"/>
      <c r="W59" s="306"/>
      <c r="X59" s="306"/>
      <c r="Y59" s="306"/>
    </row>
    <row r="60" customFormat="false" ht="15.75" hidden="false" customHeight="true" outlineLevel="0" collapsed="false">
      <c r="U60" s="306"/>
      <c r="V60" s="306"/>
      <c r="W60" s="306"/>
      <c r="X60" s="306"/>
      <c r="Y60" s="306"/>
    </row>
  </sheetData>
  <mergeCells count="4">
    <mergeCell ref="A1:L2"/>
    <mergeCell ref="J19:T19"/>
    <mergeCell ref="A20:B20"/>
    <mergeCell ref="A39:B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1"/>
  <sheetViews>
    <sheetView showFormulas="false" showGridLines="true" showRowColHeaders="true" showZeros="true" rightToLeft="false" tabSelected="false" showOutlineSymbols="true" defaultGridColor="true" view="normal" topLeftCell="A36" colorId="64" zoomScale="141" zoomScaleNormal="141" zoomScalePageLayoutView="100" workbookViewId="0">
      <selection pane="topLeft" activeCell="D40" activeCellId="0" sqref="D40"/>
    </sheetView>
  </sheetViews>
  <sheetFormatPr defaultColWidth="10.73046875" defaultRowHeight="12.75" customHeight="false" zeroHeight="false" outlineLevelRow="0" outlineLevelCol="0"/>
  <cols>
    <col collapsed="false" customWidth="true" hidden="false" outlineLevel="0" max="1" min="1" style="284" width="28.33"/>
    <col collapsed="false" customWidth="true" hidden="false" outlineLevel="0" max="2" min="2" style="284" width="17.33"/>
    <col collapsed="false" customWidth="true" hidden="false" outlineLevel="0" max="3" min="3" style="284" width="11"/>
    <col collapsed="false" customWidth="true" hidden="false" outlineLevel="0" max="4" min="4" style="284" width="13.66"/>
    <col collapsed="false" customWidth="true" hidden="false" outlineLevel="0" max="6" min="5" style="284" width="11.16"/>
    <col collapsed="false" customWidth="true" hidden="false" outlineLevel="0" max="10" min="7" style="284" width="10.84"/>
  </cols>
  <sheetData>
    <row r="1" s="324" customFormat="true" ht="18" hidden="false" customHeight="true" outlineLevel="0" collapsed="false">
      <c r="A1" s="323" t="s">
        <v>580</v>
      </c>
      <c r="B1" s="323"/>
      <c r="C1" s="323"/>
      <c r="D1" s="323"/>
      <c r="E1" s="323"/>
      <c r="F1" s="323"/>
      <c r="G1" s="323"/>
      <c r="H1" s="323"/>
      <c r="I1" s="323"/>
      <c r="J1" s="323"/>
    </row>
    <row r="2" s="266" customFormat="true" ht="12.75" hidden="false" customHeight="true" outlineLevel="0" collapsed="false">
      <c r="A2" s="188" t="s">
        <v>581</v>
      </c>
      <c r="B2" s="188"/>
      <c r="C2" s="188"/>
      <c r="D2" s="188"/>
      <c r="E2" s="188"/>
      <c r="F2" s="188"/>
      <c r="G2" s="188"/>
      <c r="H2" s="188"/>
      <c r="I2" s="188"/>
      <c r="J2" s="188"/>
    </row>
    <row r="3" s="266" customFormat="true" ht="12.75" hidden="false" customHeight="true" outlineLevel="0" collapsed="false">
      <c r="A3" s="188" t="s">
        <v>582</v>
      </c>
      <c r="B3" s="188"/>
      <c r="C3" s="188"/>
      <c r="D3" s="188"/>
      <c r="E3" s="188"/>
      <c r="F3" s="188"/>
      <c r="G3" s="188"/>
      <c r="H3" s="188"/>
      <c r="I3" s="188"/>
      <c r="J3" s="188"/>
    </row>
    <row r="4" s="266" customFormat="true" ht="12.75" hidden="false" customHeight="true" outlineLevel="0" collapsed="false">
      <c r="A4" s="188"/>
      <c r="B4" s="188"/>
      <c r="C4" s="188"/>
      <c r="D4" s="188"/>
      <c r="E4" s="188"/>
      <c r="F4" s="188"/>
      <c r="G4" s="188"/>
      <c r="H4" s="188"/>
      <c r="I4" s="188"/>
      <c r="J4" s="188"/>
    </row>
    <row r="5" s="266" customFormat="true" ht="12.75" hidden="false" customHeight="true" outlineLevel="0" collapsed="false">
      <c r="A5" s="325" t="s">
        <v>483</v>
      </c>
      <c r="B5" s="188"/>
      <c r="C5" s="188"/>
      <c r="D5" s="188"/>
      <c r="E5" s="188"/>
      <c r="F5" s="188"/>
      <c r="G5" s="188"/>
      <c r="H5" s="188"/>
      <c r="I5" s="188"/>
      <c r="J5" s="188"/>
    </row>
    <row r="6" s="266" customFormat="true" ht="12.75" hidden="false" customHeight="true" outlineLevel="0" collapsed="false">
      <c r="A6" s="188" t="s">
        <v>583</v>
      </c>
      <c r="B6" s="188"/>
      <c r="C6" s="188"/>
      <c r="D6" s="188"/>
      <c r="E6" s="188"/>
      <c r="F6" s="326" t="n">
        <v>3</v>
      </c>
      <c r="G6" s="188" t="s">
        <v>584</v>
      </c>
      <c r="H6" s="188"/>
      <c r="I6" s="188"/>
      <c r="J6" s="188"/>
    </row>
    <row r="7" s="266" customFormat="true" ht="12.75" hidden="false" customHeight="true" outlineLevel="0" collapsed="false">
      <c r="A7" s="188" t="s">
        <v>585</v>
      </c>
      <c r="B7" s="188"/>
      <c r="C7" s="188"/>
      <c r="D7" s="188"/>
      <c r="E7" s="188"/>
      <c r="F7" s="327" t="n">
        <v>85622</v>
      </c>
      <c r="G7" s="188" t="s">
        <v>586</v>
      </c>
      <c r="H7" s="188"/>
      <c r="I7" s="188"/>
      <c r="J7" s="188"/>
    </row>
    <row r="8" s="266" customFormat="true" ht="12.75" hidden="false" customHeight="true" outlineLevel="0" collapsed="false">
      <c r="A8" s="188" t="s">
        <v>587</v>
      </c>
      <c r="B8" s="188"/>
      <c r="C8" s="188"/>
      <c r="D8" s="188"/>
      <c r="E8" s="188"/>
      <c r="F8" s="188"/>
      <c r="G8" s="188"/>
      <c r="H8" s="188"/>
      <c r="I8" s="188"/>
      <c r="J8" s="188"/>
    </row>
    <row r="9" s="266" customFormat="true" ht="12.75" hidden="false" customHeight="true" outlineLevel="0" collapsed="false">
      <c r="A9" s="188" t="s">
        <v>588</v>
      </c>
      <c r="B9" s="188"/>
      <c r="C9" s="188"/>
      <c r="D9" s="188"/>
      <c r="E9" s="188"/>
      <c r="F9" s="188"/>
      <c r="G9" s="188"/>
      <c r="H9" s="188"/>
      <c r="I9" s="188"/>
      <c r="J9" s="188"/>
    </row>
    <row r="10" s="331" customFormat="true" ht="12.75" hidden="false" customHeight="true" outlineLevel="0" collapsed="false">
      <c r="A10" s="328" t="s">
        <v>589</v>
      </c>
      <c r="B10" s="328" t="s">
        <v>590</v>
      </c>
      <c r="C10" s="329"/>
      <c r="D10" s="329"/>
      <c r="E10" s="329"/>
      <c r="F10" s="329"/>
      <c r="G10" s="329"/>
      <c r="H10" s="329"/>
      <c r="I10" s="329"/>
      <c r="J10" s="330"/>
    </row>
    <row r="11" s="331" customFormat="true" ht="13.5" hidden="false" customHeight="true" outlineLevel="0" collapsed="false">
      <c r="A11" s="332" t="n">
        <v>-1</v>
      </c>
      <c r="B11" s="333" t="n">
        <v>73213</v>
      </c>
      <c r="C11" s="329" t="s">
        <v>591</v>
      </c>
      <c r="D11" s="329"/>
      <c r="E11" s="329"/>
      <c r="F11" s="329"/>
      <c r="G11" s="329"/>
      <c r="H11" s="329"/>
      <c r="I11" s="329"/>
      <c r="J11" s="330"/>
    </row>
    <row r="12" s="331" customFormat="true" ht="13.5" hidden="false" customHeight="true" outlineLevel="0" collapsed="false">
      <c r="A12" s="332" t="n">
        <f aca="false">IF((0-A11)&lt;$F$6,IF(A11&gt;-1,,A11-1),)</f>
        <v>-2</v>
      </c>
      <c r="B12" s="333" t="n">
        <v>56052</v>
      </c>
      <c r="C12" s="329" t="s">
        <v>592</v>
      </c>
      <c r="D12" s="329"/>
      <c r="E12" s="329"/>
      <c r="F12" s="329"/>
      <c r="G12" s="329"/>
      <c r="H12" s="329"/>
      <c r="I12" s="329"/>
      <c r="J12" s="330"/>
    </row>
    <row r="13" s="331" customFormat="true" ht="13.5" hidden="false" customHeight="true" outlineLevel="0" collapsed="false">
      <c r="A13" s="332" t="n">
        <f aca="false">IF((0-A12)&lt;$F$6,IF(A12&gt;-1,,A12-1),)</f>
        <v>-3</v>
      </c>
      <c r="B13" s="333" t="n">
        <v>42740</v>
      </c>
      <c r="C13" s="329"/>
      <c r="D13" s="329"/>
      <c r="E13" s="329"/>
      <c r="F13" s="329"/>
      <c r="G13" s="329"/>
      <c r="H13" s="329"/>
      <c r="I13" s="329"/>
      <c r="J13" s="330"/>
    </row>
    <row r="14" s="331" customFormat="true" ht="12.75" hidden="false" customHeight="true" outlineLevel="0" collapsed="false">
      <c r="A14" s="332" t="n">
        <f aca="false">IF((0-A13)&lt;$F$6,IF(A13&gt;-1,,A13-1),)</f>
        <v>0</v>
      </c>
      <c r="B14" s="333"/>
      <c r="C14" s="329"/>
      <c r="D14" s="329"/>
      <c r="E14" s="329"/>
      <c r="F14" s="329"/>
      <c r="G14" s="329"/>
      <c r="H14" s="329"/>
      <c r="I14" s="329"/>
      <c r="J14" s="330"/>
    </row>
    <row r="15" s="331" customFormat="true" ht="12.75" hidden="false" customHeight="true" outlineLevel="0" collapsed="false">
      <c r="A15" s="332" t="n">
        <f aca="false">IF((0-A14)&lt;$F$6,IF(A14&gt;-1,,A14-1),)</f>
        <v>0</v>
      </c>
      <c r="B15" s="333"/>
      <c r="C15" s="329"/>
      <c r="D15" s="329"/>
      <c r="E15" s="329"/>
      <c r="F15" s="329"/>
      <c r="G15" s="329"/>
      <c r="H15" s="329"/>
      <c r="I15" s="329"/>
      <c r="J15" s="330"/>
    </row>
    <row r="16" s="331" customFormat="true" ht="12.75" hidden="false" customHeight="true" outlineLevel="0" collapsed="false">
      <c r="A16" s="332" t="n">
        <f aca="false">IF((0-A15)&lt;$F$6,IF(A15&gt;-1,,A15-1),)</f>
        <v>0</v>
      </c>
      <c r="B16" s="333"/>
      <c r="C16" s="329"/>
      <c r="D16" s="329"/>
      <c r="E16" s="329"/>
      <c r="F16" s="329"/>
      <c r="G16" s="329"/>
      <c r="H16" s="329"/>
      <c r="I16" s="329"/>
      <c r="J16" s="330"/>
    </row>
    <row r="17" s="331" customFormat="true" ht="12.75" hidden="false" customHeight="true" outlineLevel="0" collapsed="false">
      <c r="A17" s="332" t="n">
        <f aca="false">IF((0-A16)&lt;$F$6,IF(A16&gt;-1,,A16-1),)</f>
        <v>0</v>
      </c>
      <c r="B17" s="333"/>
      <c r="C17" s="329"/>
      <c r="D17" s="329"/>
      <c r="E17" s="329"/>
      <c r="F17" s="329"/>
      <c r="G17" s="329"/>
      <c r="H17" s="329"/>
      <c r="I17" s="329"/>
      <c r="J17" s="330"/>
    </row>
    <row r="18" s="331" customFormat="true" ht="12.75" hidden="false" customHeight="true" outlineLevel="0" collapsed="false">
      <c r="A18" s="332" t="n">
        <f aca="false">IF((0-A17)&lt;$F$6,IF(A17&gt;-1,,A17-1),)</f>
        <v>0</v>
      </c>
      <c r="B18" s="333"/>
      <c r="C18" s="329"/>
      <c r="D18" s="329"/>
      <c r="E18" s="329"/>
      <c r="F18" s="329"/>
      <c r="G18" s="329"/>
      <c r="H18" s="329"/>
      <c r="I18" s="329"/>
      <c r="J18" s="330"/>
    </row>
    <row r="19" s="331" customFormat="true" ht="12.75" hidden="false" customHeight="true" outlineLevel="0" collapsed="false">
      <c r="A19" s="332" t="n">
        <f aca="false">IF((0-A18)&lt;$F$6,IF(A18&gt;-1,,A18-1),)</f>
        <v>0</v>
      </c>
      <c r="B19" s="333"/>
      <c r="C19" s="329"/>
      <c r="D19" s="329"/>
      <c r="E19" s="329"/>
      <c r="F19" s="329"/>
      <c r="G19" s="329"/>
      <c r="H19" s="329"/>
      <c r="I19" s="329"/>
      <c r="J19" s="330"/>
    </row>
    <row r="20" s="331" customFormat="true" ht="12.75" hidden="false" customHeight="true" outlineLevel="0" collapsed="false">
      <c r="A20" s="332" t="n">
        <f aca="false">IF((0-A19)&lt;$F$6,IF(A19&gt;-1,,A19-1),)</f>
        <v>0</v>
      </c>
      <c r="B20" s="333"/>
      <c r="C20" s="329"/>
      <c r="D20" s="329"/>
      <c r="E20" s="329"/>
      <c r="F20" s="329"/>
      <c r="G20" s="329"/>
      <c r="H20" s="329"/>
      <c r="I20" s="329"/>
      <c r="J20" s="330"/>
    </row>
    <row r="21" s="331" customFormat="true" ht="12.75" hidden="false" customHeight="true" outlineLevel="0" collapsed="false">
      <c r="A21" s="329"/>
      <c r="B21" s="329"/>
      <c r="C21" s="329"/>
      <c r="D21" s="329"/>
      <c r="E21" s="329"/>
      <c r="F21" s="329"/>
      <c r="G21" s="329"/>
      <c r="H21" s="329"/>
      <c r="I21" s="329"/>
      <c r="J21" s="330"/>
    </row>
    <row r="22" s="331" customFormat="true" ht="12.75" hidden="false" customHeight="true" outlineLevel="0" collapsed="false">
      <c r="A22" s="334" t="s">
        <v>540</v>
      </c>
      <c r="B22" s="329"/>
      <c r="C22" s="329"/>
      <c r="D22" s="329"/>
      <c r="E22" s="329"/>
      <c r="F22" s="329"/>
      <c r="G22" s="329"/>
      <c r="H22" s="329"/>
      <c r="I22" s="329"/>
      <c r="J22" s="330"/>
    </row>
    <row r="23" s="331" customFormat="true" ht="12.75" hidden="false" customHeight="true" outlineLevel="0" collapsed="false">
      <c r="A23" s="335" t="s">
        <v>589</v>
      </c>
      <c r="B23" s="335" t="s">
        <v>593</v>
      </c>
      <c r="C23" s="335" t="s">
        <v>594</v>
      </c>
      <c r="D23" s="335"/>
      <c r="E23" s="329" t="s">
        <v>595</v>
      </c>
      <c r="F23" s="329"/>
      <c r="G23" s="329"/>
      <c r="H23" s="329"/>
      <c r="I23" s="329"/>
      <c r="J23" s="330"/>
    </row>
    <row r="24" s="331" customFormat="true" ht="12.75" hidden="false" customHeight="true" outlineLevel="0" collapsed="false">
      <c r="A24" s="335" t="s">
        <v>596</v>
      </c>
      <c r="B24" s="335" t="n">
        <f aca="false">F7</f>
        <v>85622</v>
      </c>
      <c r="C24" s="335" t="n">
        <f aca="false">1</f>
        <v>1</v>
      </c>
      <c r="D24" s="335" t="n">
        <f aca="false">B24*C24</f>
        <v>85622</v>
      </c>
      <c r="E24" s="329"/>
      <c r="F24" s="329"/>
      <c r="G24" s="329"/>
      <c r="H24" s="329"/>
      <c r="I24" s="329"/>
      <c r="J24" s="330"/>
    </row>
    <row r="25" s="331" customFormat="true" ht="12.75" hidden="false" customHeight="true" outlineLevel="0" collapsed="false">
      <c r="A25" s="332" t="n">
        <f aca="false">A11</f>
        <v>-1</v>
      </c>
      <c r="B25" s="335" t="n">
        <f aca="false">B11</f>
        <v>73213</v>
      </c>
      <c r="C25" s="335" t="n">
        <f aca="false">IF(A25&lt;0,($F$6+A25)/$F$6,0)</f>
        <v>0.666666666666667</v>
      </c>
      <c r="D25" s="335" t="n">
        <f aca="false">B25*C25</f>
        <v>48808.6666666667</v>
      </c>
      <c r="E25" s="336" t="n">
        <f aca="false">IF(A25&lt;0,B25/$F$6,0)</f>
        <v>24404.3333333333</v>
      </c>
      <c r="F25" s="329"/>
      <c r="G25" s="329"/>
      <c r="H25" s="329"/>
      <c r="I25" s="329"/>
      <c r="J25" s="330"/>
    </row>
    <row r="26" s="331" customFormat="true" ht="12.75" hidden="false" customHeight="true" outlineLevel="0" collapsed="false">
      <c r="A26" s="332" t="n">
        <f aca="false">A12</f>
        <v>-2</v>
      </c>
      <c r="B26" s="335" t="n">
        <f aca="false">B12</f>
        <v>56052</v>
      </c>
      <c r="C26" s="335" t="n">
        <f aca="false">IF(A26&lt;0,($F$6+A26)/$F$6,0)</f>
        <v>0.333333333333333</v>
      </c>
      <c r="D26" s="335" t="n">
        <f aca="false">B26*C26</f>
        <v>18684</v>
      </c>
      <c r="E26" s="336" t="n">
        <f aca="false">IF(A26&lt;0,B26/$F$6,0)</f>
        <v>18684</v>
      </c>
      <c r="F26" s="329"/>
      <c r="G26" s="329"/>
      <c r="H26" s="329"/>
      <c r="I26" s="329"/>
      <c r="J26" s="330"/>
    </row>
    <row r="27" s="331" customFormat="true" ht="12.75" hidden="false" customHeight="true" outlineLevel="0" collapsed="false">
      <c r="A27" s="332" t="n">
        <f aca="false">A13</f>
        <v>-3</v>
      </c>
      <c r="B27" s="335" t="n">
        <f aca="false">B13</f>
        <v>42740</v>
      </c>
      <c r="C27" s="335" t="n">
        <f aca="false">IF(A27&lt;0,($F$6+A27)/$F$6,0)</f>
        <v>0</v>
      </c>
      <c r="D27" s="335" t="n">
        <f aca="false">B27*C27</f>
        <v>0</v>
      </c>
      <c r="E27" s="336" t="n">
        <f aca="false">IF(A27&lt;0,B27/$F$6,0)</f>
        <v>14246.6666666667</v>
      </c>
      <c r="F27" s="329"/>
      <c r="G27" s="329"/>
      <c r="H27" s="329"/>
      <c r="I27" s="329"/>
      <c r="J27" s="330"/>
    </row>
    <row r="28" s="331" customFormat="true" ht="12.75" hidden="false" customHeight="true" outlineLevel="0" collapsed="false">
      <c r="A28" s="332" t="n">
        <f aca="false">A14</f>
        <v>0</v>
      </c>
      <c r="B28" s="335" t="n">
        <f aca="false">B14</f>
        <v>0</v>
      </c>
      <c r="C28" s="335" t="n">
        <f aca="false">IF(A28&lt;0,($F$6+A28)/$F$6,0)</f>
        <v>0</v>
      </c>
      <c r="D28" s="335" t="n">
        <f aca="false">B28*C28</f>
        <v>0</v>
      </c>
      <c r="E28" s="336" t="n">
        <f aca="false">IF(A28&lt;0,B28/$F$6,0)</f>
        <v>0</v>
      </c>
      <c r="F28" s="329"/>
      <c r="G28" s="329"/>
      <c r="H28" s="329"/>
      <c r="I28" s="329"/>
      <c r="J28" s="330"/>
    </row>
    <row r="29" s="331" customFormat="true" ht="12.75" hidden="false" customHeight="true" outlineLevel="0" collapsed="false">
      <c r="A29" s="332" t="n">
        <f aca="false">A15</f>
        <v>0</v>
      </c>
      <c r="B29" s="335" t="n">
        <f aca="false">B15</f>
        <v>0</v>
      </c>
      <c r="C29" s="335" t="n">
        <f aca="false">IF(A29&lt;0,($F$6+A29)/$F$6,0)</f>
        <v>0</v>
      </c>
      <c r="D29" s="335" t="n">
        <f aca="false">B29*C29</f>
        <v>0</v>
      </c>
      <c r="E29" s="336" t="n">
        <f aca="false">IF(A29&lt;0,B29/$F$6,0)</f>
        <v>0</v>
      </c>
      <c r="F29" s="329"/>
      <c r="G29" s="329"/>
      <c r="H29" s="329"/>
      <c r="I29" s="329"/>
      <c r="J29" s="330"/>
    </row>
    <row r="30" s="331" customFormat="true" ht="12.75" hidden="false" customHeight="true" outlineLevel="0" collapsed="false">
      <c r="A30" s="332" t="n">
        <f aca="false">A16</f>
        <v>0</v>
      </c>
      <c r="B30" s="335" t="n">
        <f aca="false">B16</f>
        <v>0</v>
      </c>
      <c r="C30" s="335" t="n">
        <f aca="false">IF(A30&lt;0,($F$6+A30)/$F$6,0)</f>
        <v>0</v>
      </c>
      <c r="D30" s="335" t="n">
        <f aca="false">B30*C30</f>
        <v>0</v>
      </c>
      <c r="E30" s="336" t="n">
        <f aca="false">IF(A30&lt;0,B30/$F$6,0)</f>
        <v>0</v>
      </c>
      <c r="F30" s="329"/>
      <c r="G30" s="329"/>
      <c r="H30" s="329"/>
      <c r="I30" s="329"/>
      <c r="J30" s="330"/>
    </row>
    <row r="31" s="331" customFormat="true" ht="12.75" hidden="false" customHeight="true" outlineLevel="0" collapsed="false">
      <c r="A31" s="332" t="n">
        <f aca="false">A17</f>
        <v>0</v>
      </c>
      <c r="B31" s="335" t="n">
        <f aca="false">B17</f>
        <v>0</v>
      </c>
      <c r="C31" s="335" t="n">
        <f aca="false">IF(A31&lt;0,($F$6+A31)/$F$6,0)</f>
        <v>0</v>
      </c>
      <c r="D31" s="335" t="n">
        <f aca="false">B31*C31</f>
        <v>0</v>
      </c>
      <c r="E31" s="336" t="n">
        <f aca="false">IF(A31&lt;0,B31/$F$6,0)</f>
        <v>0</v>
      </c>
      <c r="F31" s="329"/>
      <c r="G31" s="329"/>
      <c r="H31" s="329"/>
      <c r="I31" s="329"/>
      <c r="J31" s="330"/>
    </row>
    <row r="32" s="331" customFormat="true" ht="12.75" hidden="false" customHeight="true" outlineLevel="0" collapsed="false">
      <c r="A32" s="332" t="n">
        <f aca="false">A18</f>
        <v>0</v>
      </c>
      <c r="B32" s="335" t="n">
        <f aca="false">B18</f>
        <v>0</v>
      </c>
      <c r="C32" s="335" t="n">
        <f aca="false">IF(A32&lt;0,($F$6+A32)/$F$6,0)</f>
        <v>0</v>
      </c>
      <c r="D32" s="335" t="n">
        <f aca="false">B32*C32</f>
        <v>0</v>
      </c>
      <c r="E32" s="336" t="n">
        <f aca="false">IF(A32&lt;0,B32/$F$6,0)</f>
        <v>0</v>
      </c>
      <c r="F32" s="329"/>
      <c r="G32" s="329"/>
      <c r="H32" s="329"/>
      <c r="I32" s="329"/>
      <c r="J32" s="330"/>
    </row>
    <row r="33" s="331" customFormat="true" ht="12.75" hidden="false" customHeight="true" outlineLevel="0" collapsed="false">
      <c r="A33" s="332" t="n">
        <f aca="false">A19</f>
        <v>0</v>
      </c>
      <c r="B33" s="335" t="n">
        <f aca="false">B19</f>
        <v>0</v>
      </c>
      <c r="C33" s="335" t="n">
        <f aca="false">IF(A33&lt;0,($F$6+A33)/$F$6,0)</f>
        <v>0</v>
      </c>
      <c r="D33" s="335" t="n">
        <f aca="false">B33*C33</f>
        <v>0</v>
      </c>
      <c r="E33" s="336" t="n">
        <f aca="false">IF(A33&lt;0,B33/$F$6,0)</f>
        <v>0</v>
      </c>
      <c r="F33" s="329"/>
      <c r="G33" s="329"/>
      <c r="H33" s="329"/>
      <c r="I33" s="329"/>
      <c r="J33" s="330"/>
    </row>
    <row r="34" s="331" customFormat="true" ht="15.75" hidden="false" customHeight="true" outlineLevel="0" collapsed="false">
      <c r="A34" s="332" t="n">
        <f aca="false">A20</f>
        <v>0</v>
      </c>
      <c r="B34" s="335" t="n">
        <f aca="false">B20</f>
        <v>0</v>
      </c>
      <c r="C34" s="335" t="n">
        <f aca="false">IF(A34&lt;0,($F$6+A34)/$F$6,0)</f>
        <v>0</v>
      </c>
      <c r="D34" s="328" t="n">
        <f aca="false">B34*C34</f>
        <v>0</v>
      </c>
      <c r="E34" s="337" t="n">
        <f aca="false">IF(A34&lt;0,B34/$F$6,0)</f>
        <v>0</v>
      </c>
      <c r="F34" s="329"/>
      <c r="G34" s="329"/>
      <c r="H34" s="329"/>
      <c r="I34" s="329"/>
      <c r="J34" s="330"/>
    </row>
    <row r="35" s="266" customFormat="true" ht="13.5" hidden="false" customHeight="true" outlineLevel="0" collapsed="false">
      <c r="A35" s="188" t="s">
        <v>597</v>
      </c>
      <c r="B35" s="188"/>
      <c r="C35" s="188"/>
      <c r="D35" s="338" t="n">
        <f aca="false">SUM(D24:D34)</f>
        <v>153114.666666667</v>
      </c>
      <c r="E35" s="338" t="n">
        <f aca="false">SUM(E25:E34)</f>
        <v>57335</v>
      </c>
      <c r="F35" s="188"/>
      <c r="G35" s="188"/>
      <c r="H35" s="188"/>
      <c r="I35" s="188"/>
      <c r="J35" s="188"/>
    </row>
    <row r="36" customFormat="false" ht="13.5" hidden="false" customHeight="true" outlineLevel="0" collapsed="false">
      <c r="D36" s="339"/>
      <c r="E36" s="339"/>
    </row>
    <row r="37" s="266" customFormat="true" ht="13.5" hidden="false" customHeight="true" outlineLevel="0" collapsed="false">
      <c r="A37" s="188" t="s">
        <v>598</v>
      </c>
      <c r="B37" s="188"/>
      <c r="C37" s="188"/>
      <c r="D37" s="338" t="n">
        <f aca="false">E35</f>
        <v>57335</v>
      </c>
      <c r="E37" s="340"/>
      <c r="F37" s="188"/>
      <c r="G37" s="188"/>
      <c r="H37" s="188"/>
      <c r="I37" s="188"/>
      <c r="J37" s="188"/>
    </row>
    <row r="38" s="266" customFormat="true" ht="13.5" hidden="false" customHeight="true" outlineLevel="0" collapsed="false">
      <c r="A38" s="188"/>
      <c r="B38" s="188"/>
      <c r="C38" s="188"/>
      <c r="D38" s="188"/>
      <c r="E38" s="188"/>
      <c r="F38" s="188"/>
      <c r="G38" s="188"/>
      <c r="H38" s="188"/>
      <c r="I38" s="188"/>
      <c r="J38" s="188"/>
    </row>
    <row r="39" s="266" customFormat="true" ht="12.75" hidden="false" customHeight="true" outlineLevel="0" collapsed="false">
      <c r="A39" s="188" t="s">
        <v>599</v>
      </c>
      <c r="B39" s="188"/>
      <c r="C39" s="188"/>
      <c r="D39" s="341" t="n">
        <f aca="false">F7-D37</f>
        <v>28287</v>
      </c>
      <c r="E39" s="188" t="s">
        <v>600</v>
      </c>
      <c r="F39" s="188"/>
      <c r="G39" s="188"/>
      <c r="H39" s="188"/>
      <c r="I39" s="188"/>
      <c r="J39" s="188"/>
    </row>
    <row r="40" customFormat="false" ht="13.5" hidden="false" customHeight="true" outlineLevel="0" collapsed="false">
      <c r="A40" s="284" t="s">
        <v>601</v>
      </c>
      <c r="D40" s="342" t="n">
        <f aca="false">D39*'Input sheet'!B24</f>
        <v>5940.27</v>
      </c>
      <c r="E40" s="188"/>
    </row>
    <row r="42" customFormat="false" ht="12.75" hidden="false" customHeight="true" outlineLevel="0" collapsed="false">
      <c r="A42" s="284" t="s">
        <v>602</v>
      </c>
    </row>
    <row r="43" customFormat="false" ht="12.75" hidden="false" customHeight="true" outlineLevel="0" collapsed="false">
      <c r="A43" s="343" t="s">
        <v>603</v>
      </c>
      <c r="B43" s="344" t="s">
        <v>604</v>
      </c>
    </row>
    <row r="44" customFormat="false" ht="12.75" hidden="false" customHeight="true" outlineLevel="0" collapsed="false">
      <c r="A44" s="345" t="s">
        <v>605</v>
      </c>
      <c r="B44" s="346" t="n">
        <v>2</v>
      </c>
    </row>
    <row r="45" customFormat="false" ht="12.75" hidden="false" customHeight="true" outlineLevel="0" collapsed="false">
      <c r="A45" s="345" t="s">
        <v>606</v>
      </c>
      <c r="B45" s="346" t="n">
        <v>10</v>
      </c>
    </row>
    <row r="46" customFormat="false" ht="12.75" hidden="false" customHeight="true" outlineLevel="0" collapsed="false">
      <c r="A46" s="345" t="s">
        <v>607</v>
      </c>
      <c r="B46" s="346" t="n">
        <v>10</v>
      </c>
    </row>
    <row r="47" customFormat="false" ht="12.75" hidden="false" customHeight="true" outlineLevel="0" collapsed="false">
      <c r="A47" s="345" t="s">
        <v>608</v>
      </c>
      <c r="B47" s="346" t="n">
        <v>5</v>
      </c>
    </row>
    <row r="48" customFormat="false" ht="12.75" hidden="false" customHeight="true" outlineLevel="0" collapsed="false">
      <c r="A48" s="345" t="s">
        <v>609</v>
      </c>
      <c r="B48" s="346" t="n">
        <v>3</v>
      </c>
    </row>
    <row r="49" customFormat="false" ht="12.75" hidden="false" customHeight="true" outlineLevel="0" collapsed="false">
      <c r="A49" s="345" t="s">
        <v>610</v>
      </c>
      <c r="B49" s="346" t="n">
        <v>10</v>
      </c>
    </row>
    <row r="50" customFormat="false" ht="12.75" hidden="false" customHeight="true" outlineLevel="0" collapsed="false">
      <c r="A50" s="345" t="s">
        <v>611</v>
      </c>
      <c r="B50" s="346" t="n">
        <v>5</v>
      </c>
    </row>
    <row r="51" customFormat="false" ht="12.75" hidden="false" customHeight="true" outlineLevel="0" collapsed="false">
      <c r="A51" s="345" t="s">
        <v>612</v>
      </c>
      <c r="B51" s="346" t="n">
        <v>5</v>
      </c>
    </row>
    <row r="52" customFormat="false" ht="12.75" hidden="false" customHeight="true" outlineLevel="0" collapsed="false">
      <c r="A52" s="345" t="s">
        <v>613</v>
      </c>
      <c r="B52" s="346" t="n">
        <v>2</v>
      </c>
    </row>
    <row r="53" customFormat="false" ht="12.75" hidden="false" customHeight="true" outlineLevel="0" collapsed="false">
      <c r="A53" s="345" t="s">
        <v>614</v>
      </c>
      <c r="B53" s="346" t="n">
        <v>2</v>
      </c>
    </row>
    <row r="54" customFormat="false" ht="12.75" hidden="false" customHeight="true" outlineLevel="0" collapsed="false">
      <c r="A54" s="345" t="s">
        <v>615</v>
      </c>
      <c r="B54" s="346" t="n">
        <v>2</v>
      </c>
    </row>
    <row r="55" customFormat="false" ht="12.75" hidden="false" customHeight="true" outlineLevel="0" collapsed="false">
      <c r="A55" s="345" t="s">
        <v>616</v>
      </c>
      <c r="B55" s="346" t="n">
        <v>2</v>
      </c>
    </row>
    <row r="56" customFormat="false" ht="12.75" hidden="false" customHeight="true" outlineLevel="0" collapsed="false">
      <c r="A56" s="345" t="s">
        <v>617</v>
      </c>
      <c r="B56" s="346" t="n">
        <v>3</v>
      </c>
    </row>
    <row r="57" customFormat="false" ht="12.75" hidden="false" customHeight="true" outlineLevel="0" collapsed="false">
      <c r="A57" s="345" t="s">
        <v>618</v>
      </c>
      <c r="B57" s="346" t="n">
        <v>3</v>
      </c>
    </row>
    <row r="58" customFormat="false" ht="12.75" hidden="false" customHeight="true" outlineLevel="0" collapsed="false">
      <c r="A58" s="345" t="s">
        <v>619</v>
      </c>
      <c r="B58" s="346" t="n">
        <v>5</v>
      </c>
    </row>
    <row r="59" customFormat="false" ht="12.75" hidden="false" customHeight="true" outlineLevel="0" collapsed="false">
      <c r="A59" s="345" t="s">
        <v>620</v>
      </c>
      <c r="B59" s="346" t="n">
        <v>10</v>
      </c>
    </row>
    <row r="60" customFormat="false" ht="12.75" hidden="false" customHeight="true" outlineLevel="0" collapsed="false">
      <c r="A60" s="345" t="s">
        <v>621</v>
      </c>
      <c r="B60" s="346" t="n">
        <v>10</v>
      </c>
    </row>
    <row r="61" customFormat="false" ht="12.75" hidden="false" customHeight="true" outlineLevel="0" collapsed="false">
      <c r="A61" s="345" t="s">
        <v>622</v>
      </c>
      <c r="B61" s="346" t="n">
        <v>10</v>
      </c>
    </row>
    <row r="62" customFormat="false" ht="12.75" hidden="false" customHeight="true" outlineLevel="0" collapsed="false">
      <c r="A62" s="345" t="s">
        <v>623</v>
      </c>
      <c r="B62" s="346" t="n">
        <v>10</v>
      </c>
    </row>
    <row r="63" customFormat="false" ht="12.75" hidden="false" customHeight="true" outlineLevel="0" collapsed="false">
      <c r="A63" s="345" t="s">
        <v>624</v>
      </c>
      <c r="B63" s="346" t="n">
        <v>10</v>
      </c>
    </row>
    <row r="64" customFormat="false" ht="12.75" hidden="false" customHeight="true" outlineLevel="0" collapsed="false">
      <c r="A64" s="345" t="s">
        <v>625</v>
      </c>
      <c r="B64" s="346" t="n">
        <v>10</v>
      </c>
    </row>
    <row r="65" customFormat="false" ht="12.75" hidden="false" customHeight="true" outlineLevel="0" collapsed="false">
      <c r="A65" s="345" t="s">
        <v>626</v>
      </c>
      <c r="B65" s="346" t="n">
        <v>5</v>
      </c>
    </row>
    <row r="66" customFormat="false" ht="12.75" hidden="false" customHeight="true" outlineLevel="0" collapsed="false">
      <c r="A66" s="345" t="s">
        <v>627</v>
      </c>
      <c r="B66" s="346" t="n">
        <v>5</v>
      </c>
    </row>
    <row r="67" customFormat="false" ht="12.75" hidden="false" customHeight="true" outlineLevel="0" collapsed="false">
      <c r="A67" s="345" t="s">
        <v>628</v>
      </c>
      <c r="B67" s="346" t="n">
        <v>3</v>
      </c>
    </row>
    <row r="68" customFormat="false" ht="12.75" hidden="false" customHeight="true" outlineLevel="0" collapsed="false">
      <c r="A68" s="345" t="s">
        <v>629</v>
      </c>
      <c r="B68" s="346" t="n">
        <v>5</v>
      </c>
    </row>
    <row r="69" customFormat="false" ht="12.75" hidden="false" customHeight="true" outlineLevel="0" collapsed="false">
      <c r="A69" s="345" t="s">
        <v>630</v>
      </c>
      <c r="B69" s="346" t="n">
        <v>5</v>
      </c>
    </row>
    <row r="70" customFormat="false" ht="12.75" hidden="false" customHeight="true" outlineLevel="0" collapsed="false">
      <c r="A70" s="345" t="s">
        <v>631</v>
      </c>
      <c r="B70" s="346" t="n">
        <v>10</v>
      </c>
    </row>
    <row r="71" customFormat="false" ht="12.75" hidden="false" customHeight="true" outlineLevel="0" collapsed="false">
      <c r="A71" s="345" t="s">
        <v>632</v>
      </c>
      <c r="B71" s="346" t="n">
        <v>3</v>
      </c>
    </row>
    <row r="72" customFormat="false" ht="12.75" hidden="false" customHeight="true" outlineLevel="0" collapsed="false">
      <c r="A72" s="345" t="s">
        <v>633</v>
      </c>
      <c r="B72" s="346" t="n">
        <v>3</v>
      </c>
    </row>
    <row r="73" customFormat="false" ht="12.75" hidden="false" customHeight="true" outlineLevel="0" collapsed="false">
      <c r="A73" s="345" t="s">
        <v>634</v>
      </c>
      <c r="B73" s="346" t="n">
        <v>10</v>
      </c>
    </row>
    <row r="74" customFormat="false" ht="12.75" hidden="false" customHeight="true" outlineLevel="0" collapsed="false">
      <c r="A74" s="345" t="s">
        <v>635</v>
      </c>
      <c r="B74" s="346" t="n">
        <v>10</v>
      </c>
    </row>
    <row r="75" customFormat="false" ht="12.75" hidden="false" customHeight="true" outlineLevel="0" collapsed="false">
      <c r="A75" s="345" t="s">
        <v>636</v>
      </c>
      <c r="B75" s="346" t="n">
        <v>10</v>
      </c>
    </row>
    <row r="76" customFormat="false" ht="12.75" hidden="false" customHeight="true" outlineLevel="0" collapsed="false">
      <c r="A76" s="345" t="s">
        <v>637</v>
      </c>
      <c r="B76" s="346" t="n">
        <v>10</v>
      </c>
    </row>
    <row r="77" customFormat="false" ht="12.75" hidden="false" customHeight="true" outlineLevel="0" collapsed="false">
      <c r="A77" s="345" t="s">
        <v>638</v>
      </c>
      <c r="B77" s="346" t="n">
        <v>5</v>
      </c>
    </row>
    <row r="78" customFormat="false" ht="12.75" hidden="false" customHeight="true" outlineLevel="0" collapsed="false">
      <c r="A78" s="345" t="s">
        <v>639</v>
      </c>
      <c r="B78" s="346" t="n">
        <v>3</v>
      </c>
    </row>
    <row r="79" customFormat="false" ht="12.75" hidden="false" customHeight="true" outlineLevel="0" collapsed="false">
      <c r="A79" s="345" t="s">
        <v>640</v>
      </c>
      <c r="B79" s="346" t="n">
        <v>5</v>
      </c>
    </row>
    <row r="80" customFormat="false" ht="12.75" hidden="false" customHeight="true" outlineLevel="0" collapsed="false">
      <c r="A80" s="345" t="s">
        <v>641</v>
      </c>
      <c r="B80" s="346" t="n">
        <v>2</v>
      </c>
    </row>
    <row r="81" customFormat="false" ht="12.75" hidden="false" customHeight="true" outlineLevel="0" collapsed="false">
      <c r="A81" s="345" t="s">
        <v>642</v>
      </c>
      <c r="B81" s="346" t="n">
        <v>3</v>
      </c>
    </row>
    <row r="82" customFormat="false" ht="12.75" hidden="false" customHeight="true" outlineLevel="0" collapsed="false">
      <c r="A82" s="345" t="s">
        <v>643</v>
      </c>
      <c r="B82" s="346" t="n">
        <v>3</v>
      </c>
    </row>
    <row r="83" customFormat="false" ht="12.75" hidden="false" customHeight="true" outlineLevel="0" collapsed="false">
      <c r="A83" s="345" t="s">
        <v>644</v>
      </c>
      <c r="B83" s="346" t="n">
        <v>5</v>
      </c>
    </row>
    <row r="84" customFormat="false" ht="12.75" hidden="false" customHeight="true" outlineLevel="0" collapsed="false">
      <c r="A84" s="345" t="s">
        <v>645</v>
      </c>
      <c r="B84" s="346" t="n">
        <v>10</v>
      </c>
    </row>
    <row r="85" customFormat="false" ht="12.75" hidden="false" customHeight="true" outlineLevel="0" collapsed="false">
      <c r="A85" s="345" t="s">
        <v>646</v>
      </c>
      <c r="B85" s="346" t="n">
        <v>3</v>
      </c>
    </row>
    <row r="86" customFormat="false" ht="12.75" hidden="false" customHeight="true" outlineLevel="0" collapsed="false">
      <c r="A86" s="345" t="s">
        <v>647</v>
      </c>
      <c r="B86" s="346" t="n">
        <v>5</v>
      </c>
    </row>
    <row r="87" customFormat="false" ht="12.75" hidden="false" customHeight="true" outlineLevel="0" collapsed="false">
      <c r="A87" s="345" t="s">
        <v>648</v>
      </c>
      <c r="B87" s="346" t="n">
        <v>2</v>
      </c>
    </row>
    <row r="88" customFormat="false" ht="12.75" hidden="false" customHeight="true" outlineLevel="0" collapsed="false">
      <c r="A88" s="345" t="s">
        <v>649</v>
      </c>
      <c r="B88" s="346" t="n">
        <v>3</v>
      </c>
    </row>
    <row r="89" customFormat="false" ht="12.75" hidden="false" customHeight="true" outlineLevel="0" collapsed="false">
      <c r="A89" s="345" t="s">
        <v>650</v>
      </c>
      <c r="B89" s="346" t="n">
        <v>5</v>
      </c>
    </row>
    <row r="90" customFormat="false" ht="12.75" hidden="false" customHeight="true" outlineLevel="0" collapsed="false">
      <c r="A90" s="345" t="s">
        <v>651</v>
      </c>
      <c r="B90" s="346" t="n">
        <v>5</v>
      </c>
    </row>
    <row r="91" customFormat="false" ht="12.75" hidden="false" customHeight="true" outlineLevel="0" collapsed="false">
      <c r="A91" s="345" t="s">
        <v>652</v>
      </c>
      <c r="B91" s="346" t="n">
        <v>3</v>
      </c>
    </row>
    <row r="92" customFormat="false" ht="12.75" hidden="false" customHeight="true" outlineLevel="0" collapsed="false">
      <c r="A92" s="345" t="s">
        <v>653</v>
      </c>
      <c r="B92" s="346" t="n">
        <v>3</v>
      </c>
    </row>
    <row r="93" customFormat="false" ht="12.75" hidden="false" customHeight="true" outlineLevel="0" collapsed="false">
      <c r="A93" s="345" t="s">
        <v>654</v>
      </c>
      <c r="B93" s="346" t="n">
        <v>3</v>
      </c>
    </row>
    <row r="94" customFormat="false" ht="12.75" hidden="false" customHeight="true" outlineLevel="0" collapsed="false">
      <c r="A94" s="345" t="s">
        <v>655</v>
      </c>
      <c r="B94" s="346" t="n">
        <v>3</v>
      </c>
    </row>
    <row r="95" customFormat="false" ht="12.75" hidden="false" customHeight="true" outlineLevel="0" collapsed="false">
      <c r="A95" s="345" t="s">
        <v>656</v>
      </c>
      <c r="B95" s="346" t="n">
        <v>3</v>
      </c>
    </row>
    <row r="96" customFormat="false" ht="12.75" hidden="false" customHeight="true" outlineLevel="0" collapsed="false">
      <c r="A96" s="345" t="s">
        <v>657</v>
      </c>
      <c r="B96" s="346" t="n">
        <v>3</v>
      </c>
    </row>
    <row r="97" customFormat="false" ht="12.75" hidden="false" customHeight="true" outlineLevel="0" collapsed="false">
      <c r="A97" s="345" t="s">
        <v>658</v>
      </c>
      <c r="B97" s="346" t="n">
        <v>3</v>
      </c>
    </row>
    <row r="98" customFormat="false" ht="12.75" hidden="false" customHeight="true" outlineLevel="0" collapsed="false">
      <c r="A98" s="345" t="s">
        <v>659</v>
      </c>
      <c r="B98" s="346" t="n">
        <v>3</v>
      </c>
    </row>
    <row r="99" customFormat="false" ht="12.75" hidden="false" customHeight="true" outlineLevel="0" collapsed="false">
      <c r="A99" s="345" t="s">
        <v>660</v>
      </c>
      <c r="B99" s="346" t="n">
        <v>3</v>
      </c>
    </row>
    <row r="100" customFormat="false" ht="12.75" hidden="false" customHeight="true" outlineLevel="0" collapsed="false">
      <c r="A100" s="345" t="s">
        <v>661</v>
      </c>
      <c r="B100" s="346" t="n">
        <v>3</v>
      </c>
    </row>
    <row r="101" customFormat="false" ht="12.75" hidden="false" customHeight="true" outlineLevel="0" collapsed="false">
      <c r="A101" s="345" t="s">
        <v>662</v>
      </c>
      <c r="B101" s="346" t="n">
        <v>10</v>
      </c>
    </row>
    <row r="102" customFormat="false" ht="12.75" hidden="false" customHeight="true" outlineLevel="0" collapsed="false">
      <c r="A102" s="345" t="s">
        <v>663</v>
      </c>
      <c r="B102" s="346" t="n">
        <v>5</v>
      </c>
    </row>
    <row r="103" customFormat="false" ht="12.75" hidden="false" customHeight="true" outlineLevel="0" collapsed="false">
      <c r="A103" s="345" t="s">
        <v>664</v>
      </c>
      <c r="B103" s="346" t="n">
        <v>10</v>
      </c>
    </row>
    <row r="104" customFormat="false" ht="12.75" hidden="false" customHeight="true" outlineLevel="0" collapsed="false">
      <c r="A104" s="345" t="s">
        <v>665</v>
      </c>
      <c r="B104" s="346" t="n">
        <v>3</v>
      </c>
    </row>
    <row r="105" customFormat="false" ht="12.75" hidden="false" customHeight="true" outlineLevel="0" collapsed="false">
      <c r="A105" s="345" t="s">
        <v>666</v>
      </c>
      <c r="B105" s="346" t="n">
        <v>5</v>
      </c>
    </row>
    <row r="106" customFormat="false" ht="12.75" hidden="false" customHeight="true" outlineLevel="0" collapsed="false">
      <c r="A106" s="345" t="s">
        <v>667</v>
      </c>
      <c r="B106" s="346" t="n">
        <v>10</v>
      </c>
    </row>
    <row r="107" customFormat="false" ht="12.75" hidden="false" customHeight="true" outlineLevel="0" collapsed="false">
      <c r="A107" s="345" t="s">
        <v>668</v>
      </c>
      <c r="B107" s="346" t="n">
        <v>5</v>
      </c>
    </row>
    <row r="108" customFormat="false" ht="12.75" hidden="false" customHeight="true" outlineLevel="0" collapsed="false">
      <c r="A108" s="345" t="s">
        <v>669</v>
      </c>
      <c r="B108" s="346" t="n">
        <v>10</v>
      </c>
    </row>
    <row r="109" customFormat="false" ht="12.75" hidden="false" customHeight="true" outlineLevel="0" collapsed="false">
      <c r="A109" s="345" t="s">
        <v>670</v>
      </c>
      <c r="B109" s="346" t="n">
        <v>10</v>
      </c>
    </row>
    <row r="110" customFormat="false" ht="12.75" hidden="false" customHeight="true" outlineLevel="0" collapsed="false">
      <c r="A110" s="345" t="s">
        <v>671</v>
      </c>
      <c r="B110" s="346" t="n">
        <v>3</v>
      </c>
    </row>
    <row r="111" customFormat="false" ht="12.75" hidden="false" customHeight="true" outlineLevel="0" collapsed="false">
      <c r="A111" s="345" t="s">
        <v>672</v>
      </c>
      <c r="B111" s="346" t="n">
        <v>5</v>
      </c>
    </row>
    <row r="112" customFormat="false" ht="12.75" hidden="false" customHeight="true" outlineLevel="0" collapsed="false">
      <c r="A112" s="345" t="s">
        <v>673</v>
      </c>
      <c r="B112" s="346" t="n">
        <v>5</v>
      </c>
    </row>
    <row r="113" customFormat="false" ht="12.75" hidden="false" customHeight="true" outlineLevel="0" collapsed="false">
      <c r="A113" s="345" t="s">
        <v>674</v>
      </c>
      <c r="B113" s="346" t="n">
        <v>5</v>
      </c>
    </row>
    <row r="114" customFormat="false" ht="12.75" hidden="false" customHeight="true" outlineLevel="0" collapsed="false">
      <c r="A114" s="345" t="s">
        <v>675</v>
      </c>
      <c r="B114" s="346" t="n">
        <v>10</v>
      </c>
    </row>
    <row r="115" customFormat="false" ht="12.75" hidden="false" customHeight="true" outlineLevel="0" collapsed="false">
      <c r="A115" s="345" t="s">
        <v>676</v>
      </c>
      <c r="B115" s="346" t="n">
        <v>5</v>
      </c>
    </row>
    <row r="116" customFormat="false" ht="12.75" hidden="false" customHeight="true" outlineLevel="0" collapsed="false">
      <c r="A116" s="345" t="s">
        <v>677</v>
      </c>
      <c r="B116" s="346" t="n">
        <v>5</v>
      </c>
    </row>
    <row r="117" customFormat="false" ht="12.75" hidden="false" customHeight="true" outlineLevel="0" collapsed="false">
      <c r="A117" s="345" t="s">
        <v>678</v>
      </c>
      <c r="B117" s="346" t="n">
        <v>5</v>
      </c>
    </row>
    <row r="118" customFormat="false" ht="12.75" hidden="false" customHeight="true" outlineLevel="0" collapsed="false">
      <c r="A118" s="345" t="s">
        <v>679</v>
      </c>
      <c r="B118" s="346" t="n">
        <v>3</v>
      </c>
    </row>
    <row r="119" customFormat="false" ht="12.75" hidden="false" customHeight="true" outlineLevel="0" collapsed="false">
      <c r="A119" s="345" t="s">
        <v>680</v>
      </c>
      <c r="B119" s="346" t="n">
        <v>3</v>
      </c>
    </row>
    <row r="120" customFormat="false" ht="12.75" hidden="false" customHeight="true" outlineLevel="0" collapsed="false">
      <c r="A120" s="345" t="s">
        <v>681</v>
      </c>
      <c r="B120" s="346" t="n">
        <v>5</v>
      </c>
    </row>
    <row r="121" customFormat="false" ht="12.75" hidden="false" customHeight="true" outlineLevel="0" collapsed="false">
      <c r="A121" s="345" t="s">
        <v>682</v>
      </c>
      <c r="B121" s="346" t="n">
        <v>5</v>
      </c>
    </row>
    <row r="122" customFormat="false" ht="12.75" hidden="false" customHeight="true" outlineLevel="0" collapsed="false">
      <c r="A122" s="345" t="s">
        <v>683</v>
      </c>
      <c r="B122" s="346" t="n">
        <v>2</v>
      </c>
    </row>
    <row r="123" customFormat="false" ht="12.75" hidden="false" customHeight="true" outlineLevel="0" collapsed="false">
      <c r="A123" s="345" t="s">
        <v>684</v>
      </c>
      <c r="B123" s="346" t="n">
        <v>2</v>
      </c>
    </row>
    <row r="124" customFormat="false" ht="12.75" hidden="false" customHeight="true" outlineLevel="0" collapsed="false">
      <c r="A124" s="345" t="s">
        <v>685</v>
      </c>
      <c r="B124" s="346" t="n">
        <v>2</v>
      </c>
    </row>
    <row r="125" customFormat="false" ht="12.75" hidden="false" customHeight="true" outlineLevel="0" collapsed="false">
      <c r="A125" s="345" t="s">
        <v>686</v>
      </c>
      <c r="B125" s="346" t="n">
        <v>2</v>
      </c>
    </row>
    <row r="126" customFormat="false" ht="12.75" hidden="false" customHeight="true" outlineLevel="0" collapsed="false">
      <c r="A126" s="345" t="s">
        <v>687</v>
      </c>
      <c r="B126" s="346" t="n">
        <v>2</v>
      </c>
    </row>
    <row r="127" customFormat="false" ht="12.75" hidden="false" customHeight="true" outlineLevel="0" collapsed="false">
      <c r="A127" s="345" t="s">
        <v>688</v>
      </c>
      <c r="B127" s="346" t="n">
        <v>5</v>
      </c>
    </row>
    <row r="128" customFormat="false" ht="12.75" hidden="false" customHeight="true" outlineLevel="0" collapsed="false">
      <c r="A128" s="345" t="s">
        <v>689</v>
      </c>
      <c r="B128" s="346" t="n">
        <v>5</v>
      </c>
    </row>
    <row r="129" customFormat="false" ht="12.75" hidden="false" customHeight="true" outlineLevel="0" collapsed="false">
      <c r="A129" s="345" t="s">
        <v>690</v>
      </c>
      <c r="B129" s="346" t="n">
        <v>3</v>
      </c>
    </row>
    <row r="130" customFormat="false" ht="12.75" hidden="false" customHeight="true" outlineLevel="0" collapsed="false">
      <c r="A130" s="345" t="s">
        <v>691</v>
      </c>
      <c r="B130" s="346" t="n">
        <v>5</v>
      </c>
    </row>
    <row r="131" customFormat="false" ht="12.75" hidden="false" customHeight="true" outlineLevel="0" collapsed="false">
      <c r="A131" s="345" t="s">
        <v>692</v>
      </c>
      <c r="B131" s="346" t="n">
        <v>5</v>
      </c>
    </row>
    <row r="132" customFormat="false" ht="12.75" hidden="false" customHeight="true" outlineLevel="0" collapsed="false">
      <c r="A132" s="345" t="s">
        <v>123</v>
      </c>
      <c r="B132" s="346" t="n">
        <v>10</v>
      </c>
    </row>
    <row r="133" customFormat="false" ht="12.75" hidden="false" customHeight="true" outlineLevel="0" collapsed="false">
      <c r="A133" s="345" t="s">
        <v>693</v>
      </c>
      <c r="B133" s="346" t="n">
        <v>5</v>
      </c>
    </row>
    <row r="134" customFormat="false" ht="12.75" hidden="false" customHeight="true" outlineLevel="0" collapsed="false">
      <c r="A134" s="345" t="s">
        <v>694</v>
      </c>
      <c r="B134" s="346" t="n">
        <v>5</v>
      </c>
    </row>
    <row r="135" customFormat="false" ht="12.75" hidden="false" customHeight="true" outlineLevel="0" collapsed="false">
      <c r="A135" s="345" t="s">
        <v>695</v>
      </c>
      <c r="B135" s="346" t="n">
        <v>2</v>
      </c>
    </row>
    <row r="136" customFormat="false" ht="12.75" hidden="false" customHeight="true" outlineLevel="0" collapsed="false">
      <c r="A136" s="345" t="s">
        <v>696</v>
      </c>
      <c r="B136" s="346" t="n">
        <v>5</v>
      </c>
    </row>
    <row r="137" customFormat="false" ht="12.75" hidden="false" customHeight="true" outlineLevel="0" collapsed="false">
      <c r="A137" s="345" t="s">
        <v>697</v>
      </c>
      <c r="B137" s="346" t="n">
        <v>5</v>
      </c>
    </row>
    <row r="138" customFormat="false" ht="12.75" hidden="false" customHeight="true" outlineLevel="0" collapsed="false">
      <c r="A138" s="345" t="s">
        <v>698</v>
      </c>
      <c r="B138" s="346" t="n">
        <v>3</v>
      </c>
    </row>
    <row r="139" customFormat="false" ht="12.75" hidden="false" customHeight="true" outlineLevel="0" collapsed="false">
      <c r="A139" s="345" t="s">
        <v>699</v>
      </c>
      <c r="B139" s="346" t="n">
        <v>5</v>
      </c>
    </row>
    <row r="140" customFormat="false" ht="12.75" hidden="false" customHeight="true" outlineLevel="0" collapsed="false">
      <c r="A140" s="345" t="s">
        <v>700</v>
      </c>
      <c r="B140" s="346" t="n">
        <v>10</v>
      </c>
    </row>
    <row r="141" customFormat="false" ht="12.75" hidden="false" customHeight="true" outlineLevel="0" collapsed="false">
      <c r="A141" s="347" t="s">
        <v>701</v>
      </c>
      <c r="B141" s="348" t="n">
        <v>10</v>
      </c>
    </row>
  </sheetData>
  <mergeCells count="2">
    <mergeCell ref="A1:J1"/>
    <mergeCell ref="C23:D23"/>
  </mergeCells>
  <conditionalFormatting sqref="B11:B20">
    <cfRule type="cellIs" priority="2"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true" showRowColHeaders="true" showZeros="true" rightToLeft="false" tabSelected="false" showOutlineSymbols="true" defaultGridColor="true" view="normal" topLeftCell="A1" colorId="64" zoomScale="148" zoomScaleNormal="148" zoomScalePageLayoutView="100" workbookViewId="0">
      <selection pane="topLeft" activeCell="J27" activeCellId="0" sqref="J27"/>
    </sheetView>
  </sheetViews>
  <sheetFormatPr defaultColWidth="10.73046875" defaultRowHeight="12.75" customHeight="false" zeroHeight="false" outlineLevelRow="0" outlineLevelCol="0"/>
  <sheetData>
    <row r="1" s="324" customFormat="true" ht="18" hidden="false" customHeight="true" outlineLevel="0" collapsed="false">
      <c r="A1" s="349" t="s">
        <v>702</v>
      </c>
      <c r="B1" s="349"/>
      <c r="C1" s="349"/>
      <c r="D1" s="349"/>
      <c r="E1" s="349"/>
      <c r="F1" s="349"/>
      <c r="G1" s="349"/>
      <c r="H1" s="349"/>
      <c r="I1" s="349"/>
      <c r="J1" s="349"/>
      <c r="K1" s="349"/>
    </row>
    <row r="2" s="324" customFormat="true" ht="18.75" hidden="false" customHeight="true" outlineLevel="0" collapsed="false">
      <c r="A2" s="349" t="s">
        <v>703</v>
      </c>
      <c r="B2" s="349"/>
      <c r="C2" s="349"/>
      <c r="D2" s="349"/>
      <c r="E2" s="349"/>
      <c r="F2" s="349"/>
      <c r="G2" s="349"/>
      <c r="H2" s="349"/>
      <c r="I2" s="349"/>
      <c r="J2" s="349"/>
      <c r="K2" s="349"/>
    </row>
    <row r="3" s="350" customFormat="true" ht="12.75" hidden="false" customHeight="true" outlineLevel="0" collapsed="false">
      <c r="A3" s="350" t="s">
        <v>483</v>
      </c>
      <c r="H3" s="351" t="s">
        <v>704</v>
      </c>
      <c r="I3" s="351"/>
      <c r="J3" s="351"/>
      <c r="K3" s="351"/>
      <c r="L3" s="351"/>
    </row>
    <row r="4" s="266" customFormat="true" ht="12.75" hidden="false" customHeight="true" outlineLevel="0" collapsed="false">
      <c r="A4" s="266" t="s">
        <v>705</v>
      </c>
      <c r="E4" s="352" t="n">
        <v>295</v>
      </c>
      <c r="H4" s="351"/>
      <c r="I4" s="351"/>
      <c r="J4" s="351"/>
      <c r="K4" s="351"/>
      <c r="L4" s="351"/>
    </row>
    <row r="5" s="314" customFormat="true" ht="12.75" hidden="false" customHeight="true" outlineLevel="0" collapsed="false">
      <c r="A5" s="314" t="s">
        <v>706</v>
      </c>
      <c r="H5" s="351"/>
      <c r="I5" s="351"/>
      <c r="J5" s="351"/>
      <c r="K5" s="351"/>
      <c r="L5" s="351"/>
    </row>
    <row r="6" s="266" customFormat="true" ht="12.75" hidden="false" customHeight="true" outlineLevel="0" collapsed="false">
      <c r="A6" s="353" t="s">
        <v>589</v>
      </c>
      <c r="B6" s="353" t="s">
        <v>707</v>
      </c>
      <c r="C6" s="266" t="s">
        <v>708</v>
      </c>
      <c r="H6" s="351"/>
      <c r="I6" s="351"/>
      <c r="J6" s="351"/>
      <c r="K6" s="351"/>
      <c r="L6" s="351"/>
    </row>
    <row r="7" s="266" customFormat="true" ht="12.75" hidden="false" customHeight="true" outlineLevel="0" collapsed="false">
      <c r="A7" s="353" t="n">
        <v>1</v>
      </c>
      <c r="B7" s="354" t="n">
        <v>287</v>
      </c>
      <c r="H7" s="351"/>
      <c r="I7" s="351"/>
      <c r="J7" s="351"/>
      <c r="K7" s="351"/>
      <c r="L7" s="351"/>
    </row>
    <row r="8" s="266" customFormat="true" ht="12.75" hidden="false" customHeight="true" outlineLevel="0" collapsed="false">
      <c r="A8" s="353" t="n">
        <v>2</v>
      </c>
      <c r="B8" s="354" t="n">
        <v>235</v>
      </c>
      <c r="H8" s="351"/>
      <c r="I8" s="351"/>
      <c r="J8" s="351"/>
      <c r="K8" s="351"/>
      <c r="L8" s="351"/>
    </row>
    <row r="9" s="266" customFormat="true" ht="12.75" hidden="false" customHeight="true" outlineLevel="0" collapsed="false">
      <c r="A9" s="353" t="n">
        <v>3</v>
      </c>
      <c r="B9" s="354" t="n">
        <v>194</v>
      </c>
      <c r="H9" s="351"/>
      <c r="I9" s="351"/>
      <c r="J9" s="351"/>
      <c r="K9" s="351"/>
      <c r="L9" s="351"/>
    </row>
    <row r="10" s="266" customFormat="true" ht="12.75" hidden="false" customHeight="true" outlineLevel="0" collapsed="false">
      <c r="A10" s="353" t="n">
        <v>4</v>
      </c>
      <c r="B10" s="354" t="n">
        <v>151</v>
      </c>
      <c r="H10" s="351"/>
      <c r="I10" s="351"/>
      <c r="J10" s="351"/>
      <c r="K10" s="351"/>
      <c r="L10" s="351"/>
    </row>
    <row r="11" s="266" customFormat="true" ht="13.5" hidden="false" customHeight="true" outlineLevel="0" collapsed="false">
      <c r="A11" s="353" t="n">
        <v>5</v>
      </c>
      <c r="B11" s="354" t="n">
        <v>98</v>
      </c>
      <c r="H11" s="351"/>
      <c r="I11" s="351"/>
      <c r="J11" s="351"/>
      <c r="K11" s="351"/>
      <c r="L11" s="351"/>
    </row>
    <row r="12" s="266" customFormat="true" ht="13.5" hidden="false" customHeight="true" outlineLevel="0" collapsed="false">
      <c r="A12" s="353" t="s">
        <v>709</v>
      </c>
      <c r="B12" s="355" t="n">
        <v>605</v>
      </c>
    </row>
    <row r="13" s="266" customFormat="true" ht="12.75" hidden="false" customHeight="true" outlineLevel="0" collapsed="false"/>
    <row r="14" s="356" customFormat="true" ht="16.5" hidden="false" customHeight="true" outlineLevel="0" collapsed="false">
      <c r="A14" s="356" t="s">
        <v>540</v>
      </c>
    </row>
    <row r="15" s="266" customFormat="true" ht="13.5" hidden="false" customHeight="true" outlineLevel="0" collapsed="false">
      <c r="A15" s="266" t="s">
        <v>710</v>
      </c>
      <c r="C15" s="357" t="n">
        <f aca="false">'Cost of capital worksheet'!B37</f>
        <v>0.060613</v>
      </c>
      <c r="D15" s="266" t="s">
        <v>711</v>
      </c>
    </row>
    <row r="16" s="266" customFormat="true" ht="12.75" hidden="false" customHeight="true" outlineLevel="0" collapsed="false"/>
    <row r="17" s="266" customFormat="true" ht="12.75" hidden="false" customHeight="true" outlineLevel="0" collapsed="false">
      <c r="D17" s="358"/>
    </row>
    <row r="18" s="266" customFormat="true" ht="12.75" hidden="false" customHeight="true" outlineLevel="0" collapsed="false">
      <c r="A18" s="266" t="s">
        <v>712</v>
      </c>
      <c r="D18" s="359" t="n">
        <f aca="false">IF(B12&gt;0,ROUND(B12/AVERAGE(B7:B11),0),0)</f>
        <v>3</v>
      </c>
      <c r="E18" s="266" t="s">
        <v>713</v>
      </c>
    </row>
    <row r="19" s="350" customFormat="true" ht="12.75" hidden="false" customHeight="true" outlineLevel="0" collapsed="false">
      <c r="E19" s="266" t="s">
        <v>714</v>
      </c>
    </row>
    <row r="20" s="314" customFormat="true" ht="12.75" hidden="false" customHeight="true" outlineLevel="0" collapsed="false">
      <c r="A20" s="314" t="s">
        <v>715</v>
      </c>
    </row>
    <row r="21" s="266" customFormat="true" ht="12.75" hidden="false" customHeight="true" outlineLevel="0" collapsed="false">
      <c r="A21" s="353" t="s">
        <v>589</v>
      </c>
      <c r="B21" s="353" t="s">
        <v>707</v>
      </c>
      <c r="C21" s="353" t="s">
        <v>716</v>
      </c>
    </row>
    <row r="22" s="266" customFormat="true" ht="12.75" hidden="false" customHeight="true" outlineLevel="0" collapsed="false">
      <c r="A22" s="360" t="n">
        <f aca="false">A7</f>
        <v>1</v>
      </c>
      <c r="B22" s="361" t="n">
        <f aca="false">B7</f>
        <v>287</v>
      </c>
      <c r="C22" s="361" t="n">
        <f aca="false">B22/(1+$C$15)^A22</f>
        <v>270.598229514441</v>
      </c>
    </row>
    <row r="23" s="266" customFormat="true" ht="12.75" hidden="false" customHeight="true" outlineLevel="0" collapsed="false">
      <c r="A23" s="360" t="n">
        <f aca="false">A8</f>
        <v>2</v>
      </c>
      <c r="B23" s="361" t="n">
        <f aca="false">B8</f>
        <v>235</v>
      </c>
      <c r="C23" s="361" t="n">
        <f aca="false">B23/(1+$C$15)^A23</f>
        <v>208.90747036922</v>
      </c>
    </row>
    <row r="24" s="266" customFormat="true" ht="12.75" hidden="false" customHeight="true" outlineLevel="0" collapsed="false">
      <c r="A24" s="360" t="n">
        <f aca="false">A9</f>
        <v>3</v>
      </c>
      <c r="B24" s="361" t="n">
        <f aca="false">B9</f>
        <v>194</v>
      </c>
      <c r="C24" s="361" t="n">
        <f aca="false">B24/(1+$C$15)^A24</f>
        <v>162.603875352729</v>
      </c>
    </row>
    <row r="25" s="266" customFormat="true" ht="12.75" hidden="false" customHeight="true" outlineLevel="0" collapsed="false">
      <c r="A25" s="360" t="n">
        <f aca="false">A10</f>
        <v>4</v>
      </c>
      <c r="B25" s="361" t="n">
        <f aca="false">B10</f>
        <v>151</v>
      </c>
      <c r="C25" s="361" t="n">
        <f aca="false">B25/(1+$C$15)^A25</f>
        <v>119.329868856244</v>
      </c>
    </row>
    <row r="26" s="266" customFormat="true" ht="12.75" hidden="false" customHeight="true" outlineLevel="0" collapsed="false">
      <c r="A26" s="360" t="n">
        <f aca="false">A11</f>
        <v>5</v>
      </c>
      <c r="B26" s="361" t="n">
        <f aca="false">B11</f>
        <v>98</v>
      </c>
      <c r="C26" s="361" t="n">
        <f aca="false">B26/(1+$C$15)^A26</f>
        <v>73.0199188127378</v>
      </c>
    </row>
    <row r="27" s="266" customFormat="true" ht="13.5" hidden="false" customHeight="true" outlineLevel="0" collapsed="false">
      <c r="A27" s="362" t="str">
        <f aca="false">A12</f>
        <v>6 and beyond</v>
      </c>
      <c r="B27" s="363" t="n">
        <f aca="false">IF(B12&gt;0,IF(D18&gt;0,B12/D18,B12),0)</f>
        <v>201.666666666667</v>
      </c>
      <c r="C27" s="363" t="n">
        <f aca="false">IF(D18&gt;0,(B27*(1-(1+C15)^(-D18))/C15)/(1+$C$15)^5,B27/(1+C15)^6)</f>
        <v>401.197229242199</v>
      </c>
      <c r="D27" s="266" t="s">
        <v>717</v>
      </c>
    </row>
    <row r="28" s="266" customFormat="true" ht="13.5" hidden="false" customHeight="true" outlineLevel="0" collapsed="false">
      <c r="A28" s="364" t="s">
        <v>718</v>
      </c>
      <c r="B28" s="365"/>
      <c r="C28" s="366" t="n">
        <f aca="false">SUM(C22:C27)</f>
        <v>1235.65659214757</v>
      </c>
    </row>
    <row r="29" s="266" customFormat="true" ht="12.75" hidden="false" customHeight="true" outlineLevel="0" collapsed="false"/>
    <row r="30" s="266" customFormat="true" ht="12.75" hidden="false" customHeight="true" outlineLevel="0" collapsed="false">
      <c r="A30" s="314" t="s">
        <v>719</v>
      </c>
    </row>
    <row r="31" s="266" customFormat="true" ht="13.5" hidden="false" customHeight="true" outlineLevel="0" collapsed="false">
      <c r="A31" s="266" t="s">
        <v>720</v>
      </c>
      <c r="F31" s="363" t="n">
        <f aca="false">C28/(5+D18)</f>
        <v>154.457074018446</v>
      </c>
      <c r="G31" s="266" t="s">
        <v>721</v>
      </c>
    </row>
    <row r="32" s="266" customFormat="true" ht="13.5" hidden="false" customHeight="true" outlineLevel="0" collapsed="false">
      <c r="A32" s="266" t="s">
        <v>722</v>
      </c>
      <c r="F32" s="367" t="n">
        <f aca="false">E4-F31</f>
        <v>140.542925981554</v>
      </c>
      <c r="G32" s="266" t="s">
        <v>723</v>
      </c>
    </row>
    <row r="33" s="266" customFormat="true" ht="13.5" hidden="false" customHeight="true" outlineLevel="0" collapsed="false">
      <c r="A33" s="266" t="s">
        <v>724</v>
      </c>
      <c r="F33" s="368" t="n">
        <f aca="false">C28</f>
        <v>1235.65659214757</v>
      </c>
      <c r="G33" s="266" t="s">
        <v>725</v>
      </c>
    </row>
    <row r="34" customFormat="false" ht="13.5" hidden="false" customHeight="true" outlineLevel="0" collapsed="false">
      <c r="A34" s="266" t="s">
        <v>726</v>
      </c>
      <c r="F34" s="369" t="n">
        <f aca="false">C28/(5+D18)</f>
        <v>154.457074018446</v>
      </c>
    </row>
  </sheetData>
  <mergeCells count="3">
    <mergeCell ref="A1:K1"/>
    <mergeCell ref="A2:K2"/>
    <mergeCell ref="H3:L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1"/>
  <sheetViews>
    <sheetView showFormulas="false" showGridLines="true" showRowColHeaders="true" showZeros="true" rightToLeft="false" tabSelected="false" showOutlineSymbols="true" defaultGridColor="true" view="normal" topLeftCell="A33" colorId="64" zoomScale="100" zoomScaleNormal="100" zoomScalePageLayoutView="100" workbookViewId="0">
      <selection pane="topLeft" activeCell="D87" activeCellId="0" sqref="D87"/>
    </sheetView>
  </sheetViews>
  <sheetFormatPr defaultColWidth="10.73046875" defaultRowHeight="12.75" customHeight="false" zeroHeight="false" outlineLevelRow="0" outlineLevelCol="0"/>
  <cols>
    <col collapsed="false" customWidth="true" hidden="false" outlineLevel="0" max="1" min="1" style="98" width="40.15"/>
    <col collapsed="false" customWidth="true" hidden="false" outlineLevel="0" max="2" min="2" style="98" width="17.33"/>
    <col collapsed="false" customWidth="true" hidden="false" outlineLevel="0" max="3" min="3" style="98" width="12.85"/>
    <col collapsed="false" customWidth="true" hidden="false" outlineLevel="0" max="4" min="4" style="98" width="13.66"/>
    <col collapsed="false" customWidth="true" hidden="false" outlineLevel="0" max="5" min="5" style="98" width="12"/>
    <col collapsed="false" customWidth="true" hidden="false" outlineLevel="0" max="7" min="7" style="98" width="19.51"/>
    <col collapsed="false" customWidth="true" hidden="false" outlineLevel="0" max="8" min="8" style="98" width="16.33"/>
    <col collapsed="false" customWidth="true" hidden="false" outlineLevel="0" max="10" min="10" style="98" width="14.66"/>
    <col collapsed="false" customWidth="true" hidden="false" outlineLevel="0" max="11" min="11" style="98" width="18.15"/>
    <col collapsed="false" customWidth="true" hidden="false" outlineLevel="0" max="12" min="12" style="98" width="17.5"/>
  </cols>
  <sheetData>
    <row r="1" customFormat="false" ht="12.75" hidden="false" customHeight="true" outlineLevel="0" collapsed="false">
      <c r="A1" s="370" t="s">
        <v>727</v>
      </c>
      <c r="B1" s="370"/>
      <c r="C1" s="370"/>
      <c r="D1" s="370"/>
      <c r="E1" s="370"/>
      <c r="F1" s="370"/>
      <c r="G1" s="370"/>
      <c r="H1" s="370"/>
      <c r="I1" s="370"/>
      <c r="J1" s="370"/>
      <c r="K1" s="370"/>
    </row>
    <row r="2" customFormat="false" ht="12.75" hidden="false" customHeight="true" outlineLevel="0" collapsed="false">
      <c r="A2" s="370"/>
      <c r="B2" s="370"/>
      <c r="C2" s="370"/>
      <c r="D2" s="370"/>
      <c r="E2" s="370"/>
      <c r="F2" s="370"/>
      <c r="G2" s="370"/>
      <c r="H2" s="370"/>
      <c r="I2" s="370"/>
      <c r="J2" s="370"/>
      <c r="K2" s="370"/>
    </row>
    <row r="3" s="372" customFormat="true" ht="18.75" hidden="false" customHeight="true" outlineLevel="0" collapsed="false">
      <c r="A3" s="371" t="s">
        <v>728</v>
      </c>
      <c r="B3" s="371"/>
      <c r="C3" s="371"/>
      <c r="D3" s="371"/>
      <c r="E3" s="371"/>
      <c r="G3" s="373" t="s">
        <v>729</v>
      </c>
    </row>
    <row r="4" s="376" customFormat="true" ht="15" hidden="false" customHeight="true" outlineLevel="0" collapsed="false">
      <c r="A4" s="374" t="s">
        <v>730</v>
      </c>
      <c r="B4" s="374"/>
      <c r="C4" s="374"/>
      <c r="D4" s="374"/>
      <c r="E4" s="374"/>
      <c r="F4" s="372"/>
      <c r="G4" s="375" t="s">
        <v>731</v>
      </c>
      <c r="H4" s="375" t="s">
        <v>250</v>
      </c>
      <c r="I4" s="375" t="s">
        <v>732</v>
      </c>
      <c r="J4" s="375" t="s">
        <v>733</v>
      </c>
      <c r="K4" s="375" t="s">
        <v>734</v>
      </c>
    </row>
    <row r="5" s="266" customFormat="true" ht="15" hidden="false" customHeight="true" outlineLevel="0" collapsed="false">
      <c r="A5" s="374"/>
      <c r="B5" s="374"/>
      <c r="C5" s="374"/>
      <c r="D5" s="374"/>
      <c r="E5" s="374"/>
      <c r="F5" s="372"/>
      <c r="G5" s="377" t="s">
        <v>34</v>
      </c>
      <c r="H5" s="377" t="n">
        <v>193636</v>
      </c>
      <c r="I5" s="378" t="n">
        <f aca="false">IF(H5=0,0,VLOOKUP(G5,'Country equity risk premiums'!$A$5:$D$196,4))</f>
        <v>0.0446</v>
      </c>
      <c r="J5" s="378" t="n">
        <f aca="false">IF(H5&gt;0,H5/$H$18,)</f>
        <v>0.858806675803097</v>
      </c>
      <c r="K5" s="378" t="n">
        <f aca="false">IF(J5=0,0,I5*J5)</f>
        <v>0.0383027777408181</v>
      </c>
      <c r="M5" s="379" t="s">
        <v>735</v>
      </c>
      <c r="N5" s="379"/>
      <c r="O5" s="379"/>
      <c r="P5" s="379"/>
      <c r="Q5" s="379"/>
    </row>
    <row r="6" s="266" customFormat="true" ht="15" hidden="false" customHeight="true" outlineLevel="0" collapsed="false">
      <c r="A6" s="374"/>
      <c r="B6" s="374"/>
      <c r="C6" s="374"/>
      <c r="D6" s="374"/>
      <c r="E6" s="374"/>
      <c r="F6" s="372"/>
      <c r="G6" s="377" t="s">
        <v>736</v>
      </c>
      <c r="H6" s="377" t="n">
        <v>500</v>
      </c>
      <c r="I6" s="378" t="n">
        <f aca="false">IF(H6=0,0,VLOOKUP(G6,'Country equity risk premiums'!$A$5:$D$196,4))</f>
        <v>0.0514</v>
      </c>
      <c r="J6" s="378" t="n">
        <f aca="false">IF(H6&gt;0,H6/$H$18,)</f>
        <v>0.00221758008790487</v>
      </c>
      <c r="K6" s="378" t="n">
        <f aca="false">IF(J6=0,0,I6*J6)</f>
        <v>0.000113983616518311</v>
      </c>
      <c r="M6" s="379"/>
      <c r="N6" s="379"/>
      <c r="O6" s="379"/>
      <c r="P6" s="379"/>
      <c r="Q6" s="379"/>
    </row>
    <row r="7" s="266" customFormat="true" ht="15" hidden="false" customHeight="true" outlineLevel="0" collapsed="false">
      <c r="A7" s="374"/>
      <c r="B7" s="374"/>
      <c r="C7" s="374"/>
      <c r="D7" s="374"/>
      <c r="E7" s="374"/>
      <c r="F7" s="372"/>
      <c r="G7" s="377"/>
      <c r="H7" s="377"/>
      <c r="I7" s="378" t="n">
        <f aca="false">IF(H7=0,0,VLOOKUP(G7,'Country equity risk premiums'!$A$5:$D$196,4))</f>
        <v>0</v>
      </c>
      <c r="J7" s="378" t="n">
        <f aca="false">IF(H7&gt;0,H7/$H$18,)</f>
        <v>0</v>
      </c>
      <c r="K7" s="378" t="n">
        <f aca="false">IF(J7=0,0,I7*J7)</f>
        <v>0</v>
      </c>
      <c r="M7" s="379"/>
      <c r="N7" s="379"/>
      <c r="O7" s="379"/>
      <c r="P7" s="379"/>
      <c r="Q7" s="379"/>
    </row>
    <row r="8" s="266" customFormat="true" ht="15" hidden="false" customHeight="true" outlineLevel="0" collapsed="false">
      <c r="A8" s="374"/>
      <c r="B8" s="374"/>
      <c r="C8" s="374"/>
      <c r="D8" s="374"/>
      <c r="E8" s="374"/>
      <c r="F8" s="372"/>
      <c r="G8" s="377"/>
      <c r="H8" s="377"/>
      <c r="I8" s="378" t="n">
        <f aca="false">IF(H8=0,0,VLOOKUP(G8,'Country equity risk premiums'!$A$5:$D$196,4))</f>
        <v>0</v>
      </c>
      <c r="J8" s="378" t="n">
        <f aca="false">IF(H8&gt;0,H8/$H$18,)</f>
        <v>0</v>
      </c>
      <c r="K8" s="378" t="n">
        <f aca="false">IF(J8=0,0,I8*J8)</f>
        <v>0</v>
      </c>
      <c r="M8" s="379"/>
      <c r="N8" s="379"/>
      <c r="O8" s="379"/>
      <c r="P8" s="379"/>
      <c r="Q8" s="379"/>
    </row>
    <row r="9" s="266" customFormat="true" ht="15" hidden="false" customHeight="true" outlineLevel="0" collapsed="false">
      <c r="A9" s="374"/>
      <c r="B9" s="374"/>
      <c r="C9" s="374"/>
      <c r="D9" s="374"/>
      <c r="E9" s="374"/>
      <c r="F9" s="372"/>
      <c r="G9" s="377"/>
      <c r="H9" s="377"/>
      <c r="I9" s="378" t="n">
        <f aca="false">IF(H9=0,0,VLOOKUP(G9,'Country equity risk premiums'!$A$5:$D$196,4))</f>
        <v>0</v>
      </c>
      <c r="J9" s="378" t="n">
        <f aca="false">IF(H9&gt;0,H9/$H$18,)</f>
        <v>0</v>
      </c>
      <c r="K9" s="378" t="n">
        <f aca="false">IF(J9=0,0,I9*J9)</f>
        <v>0</v>
      </c>
      <c r="M9" s="379"/>
      <c r="N9" s="379"/>
      <c r="O9" s="379"/>
      <c r="P9" s="379"/>
      <c r="Q9" s="379"/>
    </row>
    <row r="10" s="266" customFormat="true" ht="15" hidden="false" customHeight="true" outlineLevel="0" collapsed="false">
      <c r="A10" s="380"/>
      <c r="B10" s="380"/>
      <c r="C10" s="380"/>
      <c r="D10" s="380"/>
      <c r="E10" s="380"/>
      <c r="F10" s="372"/>
      <c r="G10" s="377"/>
      <c r="H10" s="377"/>
      <c r="I10" s="378" t="n">
        <f aca="false">IF(H10=0,0,VLOOKUP(G10,'Country equity risk premiums'!$A$5:$D$196,4))</f>
        <v>0</v>
      </c>
      <c r="J10" s="378" t="n">
        <f aca="false">IF(H10&gt;0,H10/$H$18,)</f>
        <v>0</v>
      </c>
      <c r="K10" s="378" t="n">
        <f aca="false">IF(J10=0,0,I10*J10)</f>
        <v>0</v>
      </c>
      <c r="M10" s="379"/>
      <c r="N10" s="379"/>
      <c r="O10" s="379"/>
      <c r="P10" s="379"/>
      <c r="Q10" s="379"/>
    </row>
    <row r="11" s="266" customFormat="true" ht="15" hidden="false" customHeight="true" outlineLevel="0" collapsed="false">
      <c r="A11" s="380" t="s">
        <v>737</v>
      </c>
      <c r="B11" s="381" t="s">
        <v>114</v>
      </c>
      <c r="C11" s="380"/>
      <c r="D11" s="380"/>
      <c r="E11" s="380"/>
      <c r="F11" s="372"/>
      <c r="G11" s="377"/>
      <c r="H11" s="377"/>
      <c r="I11" s="378" t="n">
        <f aca="false">IF(H11=0,0,VLOOKUP(G11,'Country equity risk premiums'!$A$5:$D$196,4))</f>
        <v>0</v>
      </c>
      <c r="J11" s="378" t="n">
        <f aca="false">IF(H11&gt;0,H11/$H$18,)</f>
        <v>0</v>
      </c>
      <c r="K11" s="378" t="n">
        <f aca="false">IF(J11=0,0,I11*J11)</f>
        <v>0</v>
      </c>
      <c r="M11" s="379"/>
      <c r="N11" s="379"/>
      <c r="O11" s="379"/>
      <c r="P11" s="379"/>
      <c r="Q11" s="379"/>
    </row>
    <row r="12" s="266" customFormat="true" ht="15" hidden="false" customHeight="true" outlineLevel="0" collapsed="false">
      <c r="A12" s="380" t="s">
        <v>738</v>
      </c>
      <c r="B12" s="382" t="n">
        <v>0.09</v>
      </c>
      <c r="C12" s="380"/>
      <c r="D12" s="380"/>
      <c r="E12" s="380"/>
      <c r="F12" s="372"/>
      <c r="G12" s="377"/>
      <c r="H12" s="377"/>
      <c r="I12" s="378" t="n">
        <f aca="false">IF(H12=0,0,VLOOKUP(G12,'Country equity risk premiums'!$A$5:$D$196,4))</f>
        <v>0</v>
      </c>
      <c r="J12" s="378" t="n">
        <f aca="false">IF(H12&gt;0,H12/$H$18,)</f>
        <v>0</v>
      </c>
      <c r="K12" s="378" t="n">
        <f aca="false">IF(J12=0,0,I12*J12)</f>
        <v>0</v>
      </c>
      <c r="M12" s="379"/>
      <c r="N12" s="379"/>
      <c r="O12" s="379"/>
      <c r="P12" s="379"/>
      <c r="Q12" s="379"/>
    </row>
    <row r="13" s="266" customFormat="true" ht="15" hidden="false" customHeight="true" outlineLevel="0" collapsed="false">
      <c r="A13" s="380" t="s">
        <v>739</v>
      </c>
      <c r="B13" s="383" t="n">
        <f aca="false">IF(B11="I will input",B12,IF(B11="Detailed",E62,IF(B11="Industry Average",B67,B72)))</f>
        <v>0.110612273738674</v>
      </c>
      <c r="C13" s="380"/>
      <c r="D13" s="380"/>
      <c r="E13" s="380"/>
      <c r="F13" s="372"/>
      <c r="G13" s="377"/>
      <c r="H13" s="377"/>
      <c r="I13" s="378" t="n">
        <f aca="false">IF(H13=0,0,VLOOKUP(G13,'Country equity risk premiums'!$A$5:$D$196,4))</f>
        <v>0</v>
      </c>
      <c r="J13" s="378" t="n">
        <f aca="false">IF(H13&gt;0,H13/$H$18,)</f>
        <v>0</v>
      </c>
      <c r="K13" s="378" t="n">
        <f aca="false">IF(J13=0,0,I13*J13)</f>
        <v>0</v>
      </c>
      <c r="M13" s="379"/>
      <c r="N13" s="379"/>
      <c r="O13" s="379"/>
      <c r="P13" s="379"/>
      <c r="Q13" s="379"/>
    </row>
    <row r="14" s="266" customFormat="true" ht="15" hidden="false" customHeight="true" outlineLevel="0" collapsed="false">
      <c r="A14" s="380"/>
      <c r="B14" s="380"/>
      <c r="C14" s="380"/>
      <c r="D14" s="380"/>
      <c r="E14" s="380"/>
      <c r="F14" s="372"/>
      <c r="G14" s="377"/>
      <c r="H14" s="377"/>
      <c r="I14" s="378" t="n">
        <f aca="false">IF(H14=0,0,VLOOKUP(G14,'Country equity risk premiums'!$A$5:$D$196,4))</f>
        <v>0</v>
      </c>
      <c r="J14" s="378" t="n">
        <f aca="false">IF(H14&gt;0,H14/$H$18,)</f>
        <v>0</v>
      </c>
      <c r="K14" s="378" t="n">
        <f aca="false">IF(J14=0,0,I14*J14)</f>
        <v>0</v>
      </c>
      <c r="M14" s="379"/>
      <c r="N14" s="379"/>
      <c r="O14" s="379"/>
      <c r="P14" s="379"/>
      <c r="Q14" s="379"/>
    </row>
    <row r="15" s="266" customFormat="true" ht="15" hidden="false" customHeight="true" outlineLevel="0" collapsed="false">
      <c r="A15" s="384" t="s">
        <v>740</v>
      </c>
      <c r="B15" s="384"/>
      <c r="C15" s="384"/>
      <c r="D15" s="384"/>
      <c r="E15" s="384"/>
      <c r="F15" s="384"/>
      <c r="G15" s="377"/>
      <c r="H15" s="377"/>
      <c r="I15" s="378" t="n">
        <f aca="false">IF(H15=0,0,VLOOKUP(G15,'Country equity risk premiums'!$A$5:$D$196,4))</f>
        <v>0</v>
      </c>
      <c r="J15" s="378" t="n">
        <f aca="false">IF(H15&gt;0,H15/$H$18,)</f>
        <v>0</v>
      </c>
      <c r="K15" s="378" t="n">
        <f aca="false">IF(J15=0,0,I15*J15)</f>
        <v>0</v>
      </c>
      <c r="M15" s="379"/>
      <c r="N15" s="379"/>
      <c r="O15" s="379"/>
      <c r="P15" s="379"/>
      <c r="Q15" s="379"/>
    </row>
    <row r="16" s="266" customFormat="true" ht="15" hidden="false" customHeight="true" outlineLevel="0" collapsed="false">
      <c r="A16" s="376" t="s">
        <v>483</v>
      </c>
      <c r="B16" s="385"/>
      <c r="C16" s="386"/>
      <c r="D16" s="376"/>
      <c r="E16" s="376"/>
      <c r="F16" s="376"/>
      <c r="G16" s="387" t="s">
        <v>741</v>
      </c>
      <c r="H16" s="377" t="n">
        <v>31335</v>
      </c>
      <c r="I16" s="388" t="n">
        <v>0.0641</v>
      </c>
      <c r="J16" s="378" t="n">
        <f aca="false">IF(H16&gt;0,H16/$H$18,)</f>
        <v>0.138975744108999</v>
      </c>
      <c r="K16" s="378" t="n">
        <f aca="false">IF(J16=0,0,I16*J16)</f>
        <v>0.0089083451973868</v>
      </c>
      <c r="M16" s="379"/>
      <c r="N16" s="379"/>
      <c r="O16" s="379"/>
      <c r="P16" s="379"/>
      <c r="Q16" s="379"/>
    </row>
    <row r="17" s="266" customFormat="true" ht="15" hidden="false" customHeight="true" outlineLevel="0" collapsed="false">
      <c r="A17" s="350" t="s">
        <v>742</v>
      </c>
      <c r="B17" s="389"/>
      <c r="G17" s="387"/>
      <c r="H17" s="377"/>
      <c r="I17" s="387"/>
      <c r="J17" s="378" t="n">
        <f aca="false">IF(H17&gt;0,H17/$H$18,)</f>
        <v>0</v>
      </c>
      <c r="K17" s="378" t="n">
        <f aca="false">IF(J17=0,0,I17*J17)</f>
        <v>0</v>
      </c>
      <c r="M17" s="379"/>
      <c r="N17" s="379"/>
      <c r="O17" s="379"/>
      <c r="P17" s="379"/>
      <c r="Q17" s="379"/>
    </row>
    <row r="18" s="266" customFormat="true" ht="15" hidden="false" customHeight="true" outlineLevel="0" collapsed="false">
      <c r="A18" s="266" t="s">
        <v>743</v>
      </c>
      <c r="B18" s="390" t="n">
        <f aca="false">'Input sheet'!B21</f>
        <v>1445.21</v>
      </c>
      <c r="G18" s="391" t="s">
        <v>744</v>
      </c>
      <c r="H18" s="391" t="n">
        <f aca="false">SUM(H5:H17)</f>
        <v>225471</v>
      </c>
      <c r="I18" s="391"/>
      <c r="J18" s="378" t="n">
        <f aca="false">SUM(J5:J17)</f>
        <v>1</v>
      </c>
      <c r="K18" s="378" t="n">
        <f aca="false">SUM(K5:K17)</f>
        <v>0.0473251065547232</v>
      </c>
      <c r="M18" s="379"/>
      <c r="N18" s="379"/>
      <c r="O18" s="379"/>
      <c r="P18" s="379"/>
      <c r="Q18" s="379"/>
    </row>
    <row r="19" s="266" customFormat="true" ht="15" hidden="false" customHeight="true" outlineLevel="0" collapsed="false">
      <c r="A19" s="266" t="s">
        <v>745</v>
      </c>
      <c r="B19" s="361" t="n">
        <f aca="false">'Input sheet'!B22</f>
        <v>62.0900001525879</v>
      </c>
      <c r="G19" s="373" t="s">
        <v>746</v>
      </c>
      <c r="M19" s="379"/>
      <c r="N19" s="379"/>
      <c r="O19" s="379"/>
      <c r="P19" s="379"/>
      <c r="Q19" s="379"/>
    </row>
    <row r="20" s="266" customFormat="true" ht="15" hidden="false" customHeight="true" outlineLevel="0" collapsed="false">
      <c r="G20" s="360" t="s">
        <v>747</v>
      </c>
      <c r="H20" s="360" t="s">
        <v>250</v>
      </c>
      <c r="I20" s="360" t="s">
        <v>732</v>
      </c>
      <c r="J20" s="360" t="s">
        <v>733</v>
      </c>
      <c r="K20" s="360" t="s">
        <v>734</v>
      </c>
    </row>
    <row r="21" s="266" customFormat="true" ht="15" hidden="false" customHeight="true" outlineLevel="0" collapsed="false">
      <c r="A21" s="266" t="s">
        <v>748</v>
      </c>
      <c r="B21" s="377" t="s">
        <v>116</v>
      </c>
      <c r="G21" s="360" t="str">
        <f aca="false">'Country equity risk premiums'!A201</f>
        <v>Africa</v>
      </c>
      <c r="H21" s="377" t="n">
        <v>0</v>
      </c>
      <c r="I21" s="392" t="n">
        <f aca="false">'Country equity risk premiums'!B201</f>
        <v>0.119493080505368</v>
      </c>
      <c r="J21" s="378" t="n">
        <f aca="false">H21/$H$32</f>
        <v>0</v>
      </c>
      <c r="K21" s="393" t="n">
        <f aca="false">I21*J21</f>
        <v>0</v>
      </c>
    </row>
    <row r="22" s="266" customFormat="true" ht="15" hidden="false" customHeight="true" outlineLevel="0" collapsed="false">
      <c r="A22" s="266" t="s">
        <v>749</v>
      </c>
      <c r="B22" s="394" t="n">
        <v>1.2</v>
      </c>
      <c r="G22" s="360" t="str">
        <f aca="false">'Country equity risk premiums'!A202</f>
        <v>Asia</v>
      </c>
      <c r="H22" s="377" t="n">
        <v>6938</v>
      </c>
      <c r="I22" s="392" t="n">
        <f aca="false">'Country equity risk premiums'!B202</f>
        <v>0.0572232356484523</v>
      </c>
      <c r="J22" s="378" t="n">
        <f aca="false">H22/$H$32</f>
        <v>0.202297644040121</v>
      </c>
      <c r="K22" s="393" t="n">
        <f aca="false">I22*J22</f>
        <v>0.0115761257560346</v>
      </c>
    </row>
    <row r="23" s="266" customFormat="true" ht="15" hidden="false" customHeight="true" outlineLevel="0" collapsed="false">
      <c r="A23" s="266" t="s">
        <v>750</v>
      </c>
      <c r="B23" s="390" t="n">
        <f aca="false">IF(B21="Single Business(US)",VLOOKUP('Input sheet'!B8,'Industry Averages(US)'!A2:G95,7),IF(B21="Multibusiness(US)",K48,IF(B21="Single Business(Global)",VLOOKUP('Input sheet'!B9,'Industry Averages (Global)'!A2:G95,7),'Cost of capital worksheet'!K64)))</f>
        <v>1.2110393144007</v>
      </c>
      <c r="G23" s="360" t="str">
        <f aca="false">'Country equity risk premiums'!A203</f>
        <v>Australia &amp; New Zealand</v>
      </c>
      <c r="H23" s="377" t="n">
        <v>0</v>
      </c>
      <c r="I23" s="392" t="n">
        <f aca="false">'Country equity risk premiums'!B203</f>
        <v>0.0423408217320042</v>
      </c>
      <c r="J23" s="378" t="n">
        <f aca="false">H23/$H$32</f>
        <v>0</v>
      </c>
      <c r="K23" s="393" t="n">
        <f aca="false">I23*J23</f>
        <v>0</v>
      </c>
    </row>
    <row r="24" s="266" customFormat="true" ht="15" hidden="false" customHeight="true" outlineLevel="0" collapsed="false">
      <c r="A24" s="266" t="s">
        <v>751</v>
      </c>
      <c r="B24" s="378" t="n">
        <f aca="false">'Input sheet'!B34</f>
        <v>0.0495</v>
      </c>
      <c r="G24" s="360" t="str">
        <f aca="false">'Country equity risk premiums'!A204</f>
        <v>Caribbean</v>
      </c>
      <c r="H24" s="377" t="n">
        <v>0</v>
      </c>
      <c r="I24" s="392" t="n">
        <f aca="false">'Country equity risk premiums'!B204</f>
        <v>0.117176823349771</v>
      </c>
      <c r="J24" s="378" t="n">
        <f aca="false">H24/$H$32</f>
        <v>0</v>
      </c>
      <c r="K24" s="393" t="n">
        <f aca="false">I24*J24</f>
        <v>0</v>
      </c>
    </row>
    <row r="25" s="266" customFormat="true" ht="15" hidden="false" customHeight="true" outlineLevel="0" collapsed="false">
      <c r="A25" s="266" t="s">
        <v>752</v>
      </c>
      <c r="B25" s="395" t="s">
        <v>128</v>
      </c>
      <c r="G25" s="360" t="str">
        <f aca="false">'Country equity risk premiums'!A205</f>
        <v>Central and South America</v>
      </c>
      <c r="H25" s="377" t="n">
        <v>2446</v>
      </c>
      <c r="I25" s="392" t="n">
        <f aca="false">'Country equity risk premiums'!B205</f>
        <v>0.0846284962061898</v>
      </c>
      <c r="J25" s="378" t="n">
        <f aca="false">H25/$H$32</f>
        <v>0.071320270585491</v>
      </c>
      <c r="K25" s="393" t="n">
        <f aca="false">I25*J25</f>
        <v>0.00603572724866866</v>
      </c>
    </row>
    <row r="26" s="266" customFormat="true" ht="15" hidden="false" customHeight="true" outlineLevel="0" collapsed="false">
      <c r="A26" s="266" t="s">
        <v>753</v>
      </c>
      <c r="B26" s="395" t="n">
        <v>0.06</v>
      </c>
      <c r="G26" s="360" t="str">
        <f aca="false">'Country equity risk premiums'!A206</f>
        <v>Eastern Europe</v>
      </c>
      <c r="H26" s="377" t="n">
        <v>0</v>
      </c>
      <c r="I26" s="392" t="n">
        <f aca="false">'Country equity risk premiums'!B206</f>
        <v>0.0757770910184508</v>
      </c>
      <c r="J26" s="378" t="n">
        <f aca="false">H26/$H$32</f>
        <v>0</v>
      </c>
      <c r="K26" s="393" t="n">
        <f aca="false">I26*J26</f>
        <v>0</v>
      </c>
    </row>
    <row r="27" s="266" customFormat="true" ht="15" hidden="false" customHeight="true" outlineLevel="0" collapsed="false">
      <c r="A27" s="266" t="s">
        <v>754</v>
      </c>
      <c r="B27" s="396" t="n">
        <f aca="false">IF(B25="Will Input",B26,IF(B25="Country of Incorporation",VLOOKUP('Input sheet'!B7,'Country equity risk premiums'!A5:E195,4),IF(B25="Operating regions",'Cost of capital worksheet'!K32,'Cost of capital worksheet'!K18)))</f>
        <v>0.05266247395751</v>
      </c>
      <c r="G27" s="360" t="str">
        <f aca="false">'Country equity risk premiums'!A207</f>
        <v>Middle East</v>
      </c>
      <c r="H27" s="377" t="n">
        <v>0</v>
      </c>
      <c r="I27" s="392" t="n">
        <f aca="false">'Country equity risk premiums'!B207</f>
        <v>0.0623668644036819</v>
      </c>
      <c r="J27" s="378" t="n">
        <f aca="false">H27/$H$32</f>
        <v>0</v>
      </c>
      <c r="K27" s="393" t="n">
        <f aca="false">I27*J27</f>
        <v>0</v>
      </c>
    </row>
    <row r="28" s="266" customFormat="true" ht="15" hidden="false" customHeight="true" outlineLevel="0" collapsed="false">
      <c r="G28" s="360" t="str">
        <f aca="false">'Country equity risk premiums'!A208</f>
        <v>North America</v>
      </c>
      <c r="H28" s="377" t="n">
        <v>13402</v>
      </c>
      <c r="I28" s="392" t="n">
        <f aca="false">'Country equity risk premiums'!B208</f>
        <v>0.044464748784794</v>
      </c>
      <c r="J28" s="378" t="n">
        <f aca="false">H28/$H$32</f>
        <v>0.390774434336366</v>
      </c>
      <c r="K28" s="393" t="n">
        <f aca="false">I28*J28</f>
        <v>0.0173756870542865</v>
      </c>
    </row>
    <row r="29" s="266" customFormat="true" ht="15" hidden="false" customHeight="true" outlineLevel="0" collapsed="false">
      <c r="A29" s="350" t="s">
        <v>755</v>
      </c>
      <c r="G29" s="360" t="str">
        <f aca="false">'Country equity risk premiums'!A209</f>
        <v>Western Europe</v>
      </c>
      <c r="H29" s="377" t="n">
        <v>11510</v>
      </c>
      <c r="I29" s="392" t="n">
        <f aca="false">'Country equity risk premiums'!B209</f>
        <v>0.0526654676788577</v>
      </c>
      <c r="J29" s="378" t="n">
        <f aca="false">H29/$H$32</f>
        <v>0.335607651038022</v>
      </c>
      <c r="K29" s="393" t="n">
        <f aca="false">I29*J29</f>
        <v>0.0176749338985203</v>
      </c>
    </row>
    <row r="30" s="266" customFormat="true" ht="15" hidden="false" customHeight="true" outlineLevel="0" collapsed="false">
      <c r="A30" s="266" t="s">
        <v>756</v>
      </c>
      <c r="B30" s="361" t="n">
        <f aca="false">'Input sheet'!B15</f>
        <v>20244</v>
      </c>
      <c r="G30" s="377" t="s">
        <v>757</v>
      </c>
      <c r="H30" s="377" t="n">
        <v>0</v>
      </c>
      <c r="I30" s="397" t="n">
        <v>0</v>
      </c>
      <c r="J30" s="378" t="n">
        <f aca="false">H30/$H$32</f>
        <v>0</v>
      </c>
      <c r="K30" s="393" t="n">
        <f aca="false">I30*J30</f>
        <v>0</v>
      </c>
    </row>
    <row r="31" s="266" customFormat="true" ht="15" hidden="false" customHeight="true" outlineLevel="0" collapsed="false">
      <c r="A31" s="266" t="s">
        <v>758</v>
      </c>
      <c r="B31" s="361" t="n">
        <f aca="false">'Input sheet'!B13</f>
        <v>1018</v>
      </c>
      <c r="G31" s="377" t="s">
        <v>757</v>
      </c>
      <c r="H31" s="377" t="n">
        <v>0</v>
      </c>
      <c r="I31" s="397" t="n">
        <v>0</v>
      </c>
      <c r="J31" s="378" t="n">
        <f aca="false">H31/$H$32</f>
        <v>0</v>
      </c>
      <c r="K31" s="393" t="n">
        <f aca="false">I31*J31</f>
        <v>0</v>
      </c>
    </row>
    <row r="32" s="266" customFormat="true" ht="15" hidden="false" customHeight="true" outlineLevel="0" collapsed="false">
      <c r="A32" s="266" t="s">
        <v>759</v>
      </c>
      <c r="B32" s="398" t="n">
        <v>5</v>
      </c>
      <c r="G32" s="391" t="s">
        <v>744</v>
      </c>
      <c r="H32" s="391" t="n">
        <f aca="false">SUM(H21:H31)</f>
        <v>34296</v>
      </c>
      <c r="I32" s="378"/>
      <c r="J32" s="378" t="n">
        <f aca="false">SUM(J21:J31)</f>
        <v>1</v>
      </c>
      <c r="K32" s="393" t="n">
        <f aca="false">SUM(K21:K31)</f>
        <v>0.05266247395751</v>
      </c>
    </row>
    <row r="33" s="266" customFormat="true" ht="15" hidden="false" customHeight="true" outlineLevel="0" collapsed="false">
      <c r="A33" s="266" t="s">
        <v>760</v>
      </c>
      <c r="B33" s="399" t="s">
        <v>150</v>
      </c>
    </row>
    <row r="34" s="266" customFormat="true" ht="15" hidden="false" customHeight="true" outlineLevel="0" collapsed="false">
      <c r="A34" s="266" t="s">
        <v>761</v>
      </c>
      <c r="B34" s="400" t="n">
        <v>0.04</v>
      </c>
      <c r="G34" s="372" t="s">
        <v>762</v>
      </c>
    </row>
    <row r="35" s="266" customFormat="true" ht="15" hidden="false" customHeight="true" outlineLevel="0" collapsed="false">
      <c r="A35" s="266" t="s">
        <v>763</v>
      </c>
      <c r="B35" s="399" t="s">
        <v>152</v>
      </c>
      <c r="G35" s="360" t="s">
        <v>764</v>
      </c>
      <c r="H35" s="360" t="s">
        <v>250</v>
      </c>
      <c r="I35" s="360" t="s">
        <v>765</v>
      </c>
      <c r="J35" s="360" t="s">
        <v>766</v>
      </c>
      <c r="K35" s="360" t="s">
        <v>767</v>
      </c>
      <c r="L35" s="360" t="s">
        <v>15</v>
      </c>
    </row>
    <row r="36" s="266" customFormat="true" ht="15" hidden="false" customHeight="true" outlineLevel="0" collapsed="false">
      <c r="A36" s="266" t="s">
        <v>768</v>
      </c>
      <c r="B36" s="399" t="n">
        <v>2</v>
      </c>
      <c r="G36" s="377" t="s">
        <v>37</v>
      </c>
      <c r="H36" s="401" t="n">
        <v>30860</v>
      </c>
      <c r="I36" s="402" t="n">
        <f aca="false">IF(G36=0,,VLOOKUP(G36,'Industry Averages(US)'!$A$2:$S$95,15))</f>
        <v>6.62980318872859</v>
      </c>
      <c r="J36" s="403" t="n">
        <f aca="false">H36*I36</f>
        <v>204595.726404164</v>
      </c>
      <c r="K36" s="404" t="n">
        <f aca="false">IF(I36=0,0,VLOOKUP(G36,'Industry Averages(US)'!$A$2:$S$95,7))</f>
        <v>1.32458703967779</v>
      </c>
      <c r="L36" s="396" t="n">
        <f aca="false">IF(I36=0,0,VLOOKUP(G36,'Industry Averages(US)'!$A$2:$S$95,13))</f>
        <v>0.0970707313266584</v>
      </c>
    </row>
    <row r="37" s="266" customFormat="true" ht="15" hidden="false" customHeight="true" outlineLevel="0" collapsed="false">
      <c r="A37" s="266" t="s">
        <v>710</v>
      </c>
      <c r="B37" s="396" t="n">
        <f aca="false">IF(B33="Direct Input",B34,IF(B33="Synthetic Rating",'Synthetic rating'!D16,B24+VLOOKUP('Cost of capital worksheet'!B35,'Synthetic rating'!G42:H56,2)))</f>
        <v>0.060613</v>
      </c>
      <c r="G37" s="377" t="s">
        <v>123</v>
      </c>
      <c r="H37" s="401" t="n">
        <v>11011</v>
      </c>
      <c r="I37" s="402" t="n">
        <f aca="false">IF(G37=0,,VLOOKUP(G37,'Industry Averages(US)'!$A$2:$S$95,15))</f>
        <v>6.51609409586654</v>
      </c>
      <c r="J37" s="403" t="n">
        <f aca="false">H37*I37</f>
        <v>71748.7120895865</v>
      </c>
      <c r="K37" s="404" t="n">
        <f aca="false">IF(I37=0,0,VLOOKUP(G37,'Industry Averages(US)'!$A$2:$S$95,7))</f>
        <v>0.887251212035887</v>
      </c>
      <c r="L37" s="396" t="n">
        <f aca="false">IF(I37=0,0,VLOOKUP(G37,'Industry Averages(US)'!$A$2:$S$95,13))</f>
        <v>0.0772143339258468</v>
      </c>
    </row>
    <row r="38" s="266" customFormat="true" ht="15" hidden="false" customHeight="true" outlineLevel="0" collapsed="false">
      <c r="A38" s="266" t="s">
        <v>769</v>
      </c>
      <c r="B38" s="405" t="n">
        <f aca="false">'Input sheet'!B24</f>
        <v>0.21</v>
      </c>
      <c r="G38" s="377"/>
      <c r="H38" s="401"/>
      <c r="I38" s="402" t="n">
        <f aca="false">IF(G38=0,,VLOOKUP(G38,'Industry Averages(US)'!$A$2:$S$95,15))</f>
        <v>0</v>
      </c>
      <c r="J38" s="403" t="n">
        <f aca="false">H38*I38</f>
        <v>0</v>
      </c>
      <c r="K38" s="404" t="n">
        <f aca="false">IF(I38=0,0,VLOOKUP(G38,'Industry Averages(US)'!$A$2:$S$95,7))</f>
        <v>0</v>
      </c>
      <c r="L38" s="396" t="n">
        <f aca="false">IF(I38=0,0,VLOOKUP(G38,'Industry Averages(US)'!$A$2:$S$95,13))</f>
        <v>0</v>
      </c>
    </row>
    <row r="39" s="266" customFormat="true" ht="15" hidden="false" customHeight="true" outlineLevel="0" collapsed="false">
      <c r="G39" s="377"/>
      <c r="H39" s="401"/>
      <c r="I39" s="402" t="n">
        <f aca="false">IF(G39=0,,VLOOKUP(G39,'Industry Averages(US)'!$A$2:$S$95,15))</f>
        <v>0</v>
      </c>
      <c r="J39" s="403" t="n">
        <f aca="false">H39*I39</f>
        <v>0</v>
      </c>
      <c r="K39" s="404" t="n">
        <f aca="false">IF(I39=0,0,VLOOKUP(G39,'Industry Averages(US)'!$A$2:$S$95,7))</f>
        <v>0</v>
      </c>
      <c r="L39" s="396" t="n">
        <f aca="false">IF(I39=0,0,VLOOKUP(G39,'Industry Averages(US)'!$A$2:$S$95,13))</f>
        <v>0</v>
      </c>
    </row>
    <row r="40" s="406" customFormat="true" ht="15" hidden="false" customHeight="true" outlineLevel="0" collapsed="false">
      <c r="A40" s="266" t="s">
        <v>770</v>
      </c>
      <c r="B40" s="398" t="n">
        <v>0</v>
      </c>
      <c r="C40" s="266"/>
      <c r="D40" s="266"/>
      <c r="E40" s="266"/>
      <c r="F40" s="266"/>
      <c r="G40" s="377"/>
      <c r="H40" s="401"/>
      <c r="I40" s="402" t="n">
        <f aca="false">IF(G40=0,,VLOOKUP(G40,'Industry Averages(US)'!$A$2:$S$95,15))</f>
        <v>0</v>
      </c>
      <c r="J40" s="403" t="n">
        <f aca="false">H40*I40</f>
        <v>0</v>
      </c>
      <c r="K40" s="404" t="n">
        <f aca="false">IF(I40=0,0,VLOOKUP(G40,'Industry Averages(US)'!$A$2:$S$95,7))</f>
        <v>0</v>
      </c>
      <c r="L40" s="396" t="n">
        <f aca="false">IF(I40=0,0,VLOOKUP(G40,'Industry Averages(US)'!$A$2:$S$95,13))</f>
        <v>0</v>
      </c>
    </row>
    <row r="41" s="266" customFormat="true" ht="15" hidden="false" customHeight="true" outlineLevel="0" collapsed="false">
      <c r="A41" s="266" t="s">
        <v>771</v>
      </c>
      <c r="B41" s="398" t="n">
        <v>0</v>
      </c>
      <c r="G41" s="377"/>
      <c r="H41" s="401"/>
      <c r="I41" s="402" t="n">
        <f aca="false">IF(G41=0,,VLOOKUP(G41,'Industry Averages(US)'!$A$2:$S$95,15))</f>
        <v>0</v>
      </c>
      <c r="J41" s="403" t="n">
        <f aca="false">H41*I41</f>
        <v>0</v>
      </c>
      <c r="K41" s="404" t="n">
        <f aca="false">IF(I41=0,0,VLOOKUP(G41,'Industry Averages(US)'!$A$2:$S$95,7))</f>
        <v>0</v>
      </c>
      <c r="L41" s="396" t="n">
        <f aca="false">IF(I41=0,0,VLOOKUP(G41,'Industry Averages(US)'!$A$2:$S$95,13))</f>
        <v>0</v>
      </c>
    </row>
    <row r="42" s="266" customFormat="true" ht="15" hidden="false" customHeight="true" outlineLevel="0" collapsed="false">
      <c r="A42" s="266" t="s">
        <v>772</v>
      </c>
      <c r="B42" s="398" t="n">
        <v>0</v>
      </c>
      <c r="G42" s="377"/>
      <c r="H42" s="401"/>
      <c r="I42" s="402" t="n">
        <f aca="false">IF(G42=0,,VLOOKUP(G42,'Industry Averages(US)'!$A$2:$S$95,15))</f>
        <v>0</v>
      </c>
      <c r="J42" s="403" t="n">
        <f aca="false">H42*I42</f>
        <v>0</v>
      </c>
      <c r="K42" s="404" t="n">
        <f aca="false">IF(I42=0,0,VLOOKUP(G42,'Industry Averages(US)'!$A$2:$S$95,7))</f>
        <v>0</v>
      </c>
      <c r="L42" s="396" t="n">
        <f aca="false">IF(I42=0,0,VLOOKUP(G42,'Industry Averages(US)'!$A$2:$S$95,13))</f>
        <v>0</v>
      </c>
    </row>
    <row r="43" s="266" customFormat="true" ht="15" hidden="false" customHeight="true" outlineLevel="0" collapsed="false">
      <c r="A43" s="266" t="s">
        <v>773</v>
      </c>
      <c r="B43" s="398" t="n">
        <v>0</v>
      </c>
      <c r="G43" s="377"/>
      <c r="H43" s="401"/>
      <c r="I43" s="402" t="n">
        <f aca="false">IF(G43=0,,VLOOKUP(G43,'Industry Averages(US)'!$A$2:$S$95,15))</f>
        <v>0</v>
      </c>
      <c r="J43" s="403" t="n">
        <f aca="false">H43*I43</f>
        <v>0</v>
      </c>
      <c r="K43" s="404" t="n">
        <f aca="false">IF(I43=0,0,VLOOKUP(G43,'Industry Averages(US)'!$A$2:$S$95,7))</f>
        <v>0</v>
      </c>
      <c r="L43" s="396" t="n">
        <f aca="false">IF(I43=0,0,VLOOKUP(G43,'Industry Averages(US)'!$A$2:$S$95,13))</f>
        <v>0</v>
      </c>
    </row>
    <row r="44" customFormat="false" ht="13.5" hidden="false" customHeight="true" outlineLevel="0" collapsed="false">
      <c r="A44" s="266"/>
      <c r="B44" s="266"/>
      <c r="C44" s="266"/>
      <c r="D44" s="266"/>
      <c r="E44" s="266"/>
      <c r="F44" s="266"/>
      <c r="G44" s="377"/>
      <c r="H44" s="401"/>
      <c r="I44" s="402" t="n">
        <f aca="false">IF(G44=0,,VLOOKUP(G44,'Industry Averages(US)'!$A$2:$S$95,15))</f>
        <v>0</v>
      </c>
      <c r="J44" s="403" t="n">
        <f aca="false">H44*I44</f>
        <v>0</v>
      </c>
      <c r="K44" s="404" t="n">
        <f aca="false">IF(I44=0,0,VLOOKUP(G44,'Industry Averages(US)'!$A$2:$S$95,7))</f>
        <v>0</v>
      </c>
      <c r="L44" s="396" t="n">
        <f aca="false">IF(I44=0,0,VLOOKUP(G44,'Industry Averages(US)'!$A$2:$S$95,13))</f>
        <v>0</v>
      </c>
      <c r="M44" s="407" t="s">
        <v>774</v>
      </c>
      <c r="N44" s="407"/>
      <c r="O44" s="407"/>
    </row>
    <row r="45" customFormat="false" ht="13.5" hidden="false" customHeight="true" outlineLevel="0" collapsed="false">
      <c r="A45" s="266" t="s">
        <v>775</v>
      </c>
      <c r="B45" s="361" t="n">
        <f aca="false">IF('Input sheet'!B17="Yes",'Operating lease converter'!F33,0)</f>
        <v>0</v>
      </c>
      <c r="C45" s="266"/>
      <c r="D45" s="266"/>
      <c r="E45" s="266"/>
      <c r="F45" s="266"/>
      <c r="G45" s="377"/>
      <c r="H45" s="401"/>
      <c r="I45" s="402" t="n">
        <f aca="false">IF(G45=0,,VLOOKUP(G45,'Industry Averages(US)'!$A$2:$S$95,15))</f>
        <v>0</v>
      </c>
      <c r="J45" s="403" t="n">
        <f aca="false">H45*I45</f>
        <v>0</v>
      </c>
      <c r="K45" s="404" t="n">
        <f aca="false">IF(I45=0,0,VLOOKUP(G45,'Industry Averages(US)'!$A$2:$S$95,7))</f>
        <v>0</v>
      </c>
      <c r="L45" s="396" t="n">
        <f aca="false">IF(I45=0,0,VLOOKUP(G45,'Industry Averages(US)'!$A$2:$S$95,13))</f>
        <v>0</v>
      </c>
      <c r="M45" s="407"/>
      <c r="N45" s="407"/>
      <c r="O45" s="407"/>
    </row>
    <row r="46" customFormat="false" ht="13.5" hidden="false" customHeight="true" outlineLevel="0" collapsed="false">
      <c r="A46" s="266"/>
      <c r="B46" s="266"/>
      <c r="C46" s="266"/>
      <c r="D46" s="266"/>
      <c r="E46" s="266"/>
      <c r="F46" s="266"/>
      <c r="G46" s="377"/>
      <c r="H46" s="401"/>
      <c r="I46" s="402" t="n">
        <f aca="false">IF(G46=0,,VLOOKUP(G46,'Industry Averages(US)'!$A$2:$S$95,15))</f>
        <v>0</v>
      </c>
      <c r="J46" s="403" t="n">
        <f aca="false">H46*I46</f>
        <v>0</v>
      </c>
      <c r="K46" s="404" t="n">
        <f aca="false">IF(I46=0,0,VLOOKUP(G46,'Industry Averages(US)'!$A$2:$S$95,7))</f>
        <v>0</v>
      </c>
      <c r="L46" s="396" t="n">
        <f aca="false">IF(I46=0,0,VLOOKUP(G46,'Industry Averages(US)'!$A$2:$S$95,13))</f>
        <v>0</v>
      </c>
      <c r="M46" s="407"/>
      <c r="N46" s="407"/>
      <c r="O46" s="407"/>
    </row>
    <row r="47" customFormat="false" ht="13.5" hidden="false" customHeight="true" outlineLevel="0" collapsed="false">
      <c r="A47" s="350" t="s">
        <v>776</v>
      </c>
      <c r="B47" s="266"/>
      <c r="C47" s="266"/>
      <c r="D47" s="266"/>
      <c r="E47" s="266"/>
      <c r="F47" s="266"/>
      <c r="G47" s="377"/>
      <c r="H47" s="401"/>
      <c r="I47" s="402" t="n">
        <f aca="false">IF(G47=0,,VLOOKUP(G47,'Industry Averages(US)'!$A$2:$S$95,15))</f>
        <v>0</v>
      </c>
      <c r="J47" s="403" t="n">
        <f aca="false">H47*I47</f>
        <v>0</v>
      </c>
      <c r="K47" s="404" t="n">
        <f aca="false">IF(I47=0,0,VLOOKUP(G47,'Industry Averages(US)'!$A$2:$S$95,7))</f>
        <v>0</v>
      </c>
      <c r="L47" s="396" t="n">
        <f aca="false">IF(I47=0,0,VLOOKUP(G47,'Industry Averages(US)'!$A$2:$S$95,13))</f>
        <v>0</v>
      </c>
      <c r="M47" s="407"/>
      <c r="N47" s="407"/>
      <c r="O47" s="407"/>
    </row>
    <row r="48" customFormat="false" ht="13.5" hidden="false" customHeight="true" outlineLevel="0" collapsed="false">
      <c r="A48" s="266" t="s">
        <v>777</v>
      </c>
      <c r="B48" s="398" t="n">
        <v>0</v>
      </c>
      <c r="C48" s="266"/>
      <c r="D48" s="266"/>
      <c r="E48" s="266"/>
      <c r="F48" s="266"/>
      <c r="G48" s="408" t="s">
        <v>32</v>
      </c>
      <c r="H48" s="409" t="n">
        <f aca="false">SUM(H36:H47)</f>
        <v>41871</v>
      </c>
      <c r="I48" s="410"/>
      <c r="J48" s="403" t="n">
        <f aca="false">SUM(J36:J47)</f>
        <v>276344.438493751</v>
      </c>
      <c r="K48" s="411" t="n">
        <f aca="false">K36*(J36/J48)+K37*J37/J48+K38*J38/J48+K39*J39/J48+K40*J40/J48+K41*J41/J48+K42*J42/J48+K43*J43/J48+K44*J44/J48+K45*J45/J48+K46*J46/J48+K47*J47/J48</f>
        <v>1.2110393144007</v>
      </c>
      <c r="L48" s="412" t="n">
        <f aca="false">L36*(J36/J48)+L37*J37/J48+L38*J38/J48+L39*J39/J48+L40*J40/J48+L41*J41/J48+L42*J42/J48+L43*J43/J48+L44*J44/J48+L45*J45/J48+L46*J46/J48+L47*J47/J48</f>
        <v>0.0919153138772877</v>
      </c>
      <c r="M48" s="407"/>
      <c r="N48" s="407"/>
      <c r="O48" s="407"/>
    </row>
    <row r="49" customFormat="false" ht="13.5" hidden="false" customHeight="true" outlineLevel="0" collapsed="false">
      <c r="A49" s="266" t="s">
        <v>778</v>
      </c>
      <c r="B49" s="398" t="n">
        <v>50</v>
      </c>
      <c r="C49" s="266"/>
      <c r="D49" s="266"/>
      <c r="E49" s="266"/>
      <c r="F49" s="266"/>
    </row>
    <row r="50" customFormat="false" ht="18" hidden="false" customHeight="true" outlineLevel="0" collapsed="false">
      <c r="A50" s="266" t="s">
        <v>779</v>
      </c>
      <c r="B50" s="398" t="n">
        <v>3.8125</v>
      </c>
      <c r="C50" s="266"/>
      <c r="D50" s="266"/>
      <c r="E50" s="266"/>
      <c r="F50" s="266"/>
      <c r="G50" s="413" t="s">
        <v>780</v>
      </c>
    </row>
    <row r="51" customFormat="false" ht="13.5" hidden="false" customHeight="true" outlineLevel="0" collapsed="false">
      <c r="A51" s="266"/>
      <c r="B51" s="266"/>
      <c r="C51" s="266"/>
      <c r="D51" s="266"/>
      <c r="E51" s="266"/>
      <c r="F51" s="266"/>
      <c r="G51" s="360" t="s">
        <v>764</v>
      </c>
      <c r="H51" s="360" t="s">
        <v>250</v>
      </c>
      <c r="I51" s="360" t="s">
        <v>765</v>
      </c>
      <c r="J51" s="360" t="s">
        <v>766</v>
      </c>
      <c r="K51" s="360" t="s">
        <v>767</v>
      </c>
      <c r="L51" s="360" t="s">
        <v>15</v>
      </c>
    </row>
    <row r="52" customFormat="false" ht="13.5" hidden="false" customHeight="true" outlineLevel="0" collapsed="false">
      <c r="A52" s="376" t="s">
        <v>540</v>
      </c>
      <c r="B52" s="266"/>
      <c r="C52" s="266"/>
      <c r="D52" s="266"/>
      <c r="E52" s="266"/>
      <c r="F52" s="266"/>
      <c r="G52" s="377" t="s">
        <v>781</v>
      </c>
      <c r="H52" s="401" t="n">
        <v>81363</v>
      </c>
      <c r="I52" s="402" t="n">
        <f aca="false">IF(G52=0,,VLOOKUP(G52,'Industry Averages (Global)'!$A$2:$O$95,15))</f>
        <v>2.22853801731914</v>
      </c>
      <c r="J52" s="403" t="n">
        <f aca="false">H52*I52</f>
        <v>181320.538703137</v>
      </c>
      <c r="K52" s="402" t="n">
        <f aca="false">IF(G52=0,,VLOOKUP(G52,'Industry Averages (Global)'!$A$2:$O$95,7))</f>
        <v>1.56850480083524</v>
      </c>
      <c r="L52" s="396" t="n">
        <f aca="false">IF(I52=0,0,VLOOKUP(G52,'Industry Averages (Global)'!$A$2:$M$95,13))</f>
        <v>0.118760244487379</v>
      </c>
    </row>
    <row r="53" customFormat="false" ht="13.5" hidden="false" customHeight="true" outlineLevel="0" collapsed="false">
      <c r="A53" s="360" t="s">
        <v>782</v>
      </c>
      <c r="B53" s="360"/>
      <c r="C53" s="361" t="n">
        <f aca="false">B31*(1-(1+B37)^(-B32))/B37+B30/(1+B37)^B32</f>
        <v>19364.8736994316</v>
      </c>
      <c r="D53" s="266"/>
      <c r="E53" s="266"/>
      <c r="F53" s="266"/>
      <c r="G53" s="377"/>
      <c r="H53" s="401"/>
      <c r="I53" s="402" t="n">
        <f aca="false">IF(G53=0,,VLOOKUP(G53,'Industry Averages (Global)'!$A$2:$O$95,15))</f>
        <v>0</v>
      </c>
      <c r="J53" s="403" t="n">
        <f aca="false">H53*I53</f>
        <v>0</v>
      </c>
      <c r="K53" s="402" t="n">
        <f aca="false">IF(G53=0,,VLOOKUP(G53,'Industry Averages (Global)'!$A$2:$O$95,7))</f>
        <v>0</v>
      </c>
      <c r="L53" s="396" t="n">
        <f aca="false">IF(I53=0,0,VLOOKUP(G53,'Industry Averages (Global)'!$A$2:$M$95,13))</f>
        <v>0</v>
      </c>
    </row>
    <row r="54" customFormat="false" ht="13.5" hidden="false" customHeight="true" outlineLevel="0" collapsed="false">
      <c r="A54" s="360" t="s">
        <v>783</v>
      </c>
      <c r="B54" s="360"/>
      <c r="C54" s="361" t="n">
        <f aca="false">B41*(1-(1+B37)^(-B42))/B37+B40/(1+B37)^B42</f>
        <v>0</v>
      </c>
      <c r="D54" s="266"/>
      <c r="E54" s="266"/>
      <c r="F54" s="266"/>
      <c r="G54" s="377"/>
      <c r="H54" s="401"/>
      <c r="I54" s="402" t="n">
        <f aca="false">IF(G54=0,,VLOOKUP(G54,'Industry Averages (Global)'!$A$2:$O$95,15))</f>
        <v>0</v>
      </c>
      <c r="J54" s="403" t="n">
        <f aca="false">H54*I54</f>
        <v>0</v>
      </c>
      <c r="K54" s="402" t="n">
        <f aca="false">IF(G54=0,,VLOOKUP(G54,'Industry Averages (Global)'!$A$2:$O$95,7))</f>
        <v>0</v>
      </c>
      <c r="L54" s="396" t="n">
        <f aca="false">IF(I54=0,0,VLOOKUP(G54,'Industry Averages (Global)'!$A$2:$M$95,13))</f>
        <v>0</v>
      </c>
    </row>
    <row r="55" customFormat="false" ht="13.5" hidden="false" customHeight="true" outlineLevel="0" collapsed="false">
      <c r="A55" s="360" t="s">
        <v>784</v>
      </c>
      <c r="B55" s="360"/>
      <c r="C55" s="361" t="n">
        <f aca="false">B45</f>
        <v>0</v>
      </c>
      <c r="D55" s="266"/>
      <c r="E55" s="266"/>
      <c r="F55" s="266"/>
      <c r="G55" s="377"/>
      <c r="H55" s="401"/>
      <c r="I55" s="402" t="n">
        <f aca="false">IF(G55=0,,VLOOKUP(G55,'Industry Averages (Global)'!$A$2:$O$95,15))</f>
        <v>0</v>
      </c>
      <c r="J55" s="403" t="n">
        <f aca="false">H55*I55</f>
        <v>0</v>
      </c>
      <c r="K55" s="402" t="n">
        <f aca="false">IF(G55=0,,VLOOKUP(G55,'Industry Averages (Global)'!$A$2:$O$95,7))</f>
        <v>0</v>
      </c>
      <c r="L55" s="396" t="n">
        <f aca="false">IF(I55=0,0,VLOOKUP(G55,'Industry Averages (Global)'!$A$2:$M$95,13))</f>
        <v>0</v>
      </c>
    </row>
    <row r="56" customFormat="false" ht="13.5" hidden="false" customHeight="true" outlineLevel="0" collapsed="false">
      <c r="A56" s="360" t="s">
        <v>785</v>
      </c>
      <c r="B56" s="360"/>
      <c r="C56" s="361" t="n">
        <f aca="false">B43-C54</f>
        <v>0</v>
      </c>
      <c r="D56" s="266"/>
      <c r="E56" s="266"/>
      <c r="F56" s="266"/>
      <c r="G56" s="377"/>
      <c r="H56" s="401"/>
      <c r="I56" s="402" t="n">
        <f aca="false">IF(G56=0,,VLOOKUP(G56,'Industry Averages (Global)'!$A$2:$O$95,15))</f>
        <v>0</v>
      </c>
      <c r="J56" s="403" t="n">
        <f aca="false">H56*I56</f>
        <v>0</v>
      </c>
      <c r="K56" s="402" t="n">
        <f aca="false">IF(G56=0,,VLOOKUP(G56,'Industry Averages (Global)'!$A$2:$O$95,7))</f>
        <v>0</v>
      </c>
      <c r="L56" s="396" t="n">
        <f aca="false">IF(I56=0,0,VLOOKUP(G56,'Industry Averages (Global)'!$A$2:$M$95,13))</f>
        <v>0</v>
      </c>
    </row>
    <row r="57" customFormat="false" ht="13.5" hidden="false" customHeight="true" outlineLevel="0" collapsed="false">
      <c r="A57" s="360" t="s">
        <v>786</v>
      </c>
      <c r="B57" s="360"/>
      <c r="C57" s="390" t="n">
        <f aca="false">IF(B21="Direct Input",B22,B23*(1+(1-B38)*(C60/B60)))</f>
        <v>1.41750476257183</v>
      </c>
      <c r="D57" s="266"/>
      <c r="E57" s="266"/>
      <c r="F57" s="266"/>
      <c r="G57" s="377"/>
      <c r="H57" s="401"/>
      <c r="I57" s="402" t="n">
        <f aca="false">IF(G57=0,,VLOOKUP(G57,'Industry Averages (Global)'!$A$2:$O$95,15))</f>
        <v>0</v>
      </c>
      <c r="J57" s="403" t="n">
        <f aca="false">H57*I57</f>
        <v>0</v>
      </c>
      <c r="K57" s="402" t="n">
        <f aca="false">IF(G57=0,,VLOOKUP(G57,'Industry Averages (Global)'!$A$2:$O$95,7))</f>
        <v>0</v>
      </c>
      <c r="L57" s="396" t="n">
        <f aca="false">IF(I57=0,0,VLOOKUP(G57,'Industry Averages (Global)'!$A$2:$M$95,13))</f>
        <v>0</v>
      </c>
    </row>
    <row r="58" customFormat="false" ht="13.5" hidden="false" customHeight="true" outlineLevel="0" collapsed="false">
      <c r="A58" s="266"/>
      <c r="B58" s="266"/>
      <c r="C58" s="390"/>
      <c r="D58" s="266"/>
      <c r="E58" s="266"/>
      <c r="F58" s="266"/>
      <c r="G58" s="377"/>
      <c r="H58" s="401"/>
      <c r="I58" s="402" t="n">
        <f aca="false">IF(G58=0,,VLOOKUP(G58,'Industry Averages (Global)'!$A$2:$O$95,15))</f>
        <v>0</v>
      </c>
      <c r="J58" s="403" t="n">
        <f aca="false">H58*I58</f>
        <v>0</v>
      </c>
      <c r="K58" s="402" t="n">
        <f aca="false">IF(G58=0,,VLOOKUP(G58,'Industry Averages (Global)'!$A$2:$O$95,7))</f>
        <v>0</v>
      </c>
      <c r="L58" s="396" t="n">
        <f aca="false">IF(I58=0,0,VLOOKUP(G58,'Industry Averages (Global)'!$A$2:$M$95,13))</f>
        <v>0</v>
      </c>
    </row>
    <row r="59" customFormat="false" ht="13.5" hidden="false" customHeight="true" outlineLevel="0" collapsed="false">
      <c r="A59" s="406"/>
      <c r="B59" s="414" t="s">
        <v>742</v>
      </c>
      <c r="C59" s="414" t="s">
        <v>787</v>
      </c>
      <c r="D59" s="414" t="s">
        <v>776</v>
      </c>
      <c r="E59" s="414" t="s">
        <v>788</v>
      </c>
      <c r="F59" s="406"/>
      <c r="G59" s="377"/>
      <c r="H59" s="401"/>
      <c r="I59" s="402" t="n">
        <f aca="false">IF(G59=0,,VLOOKUP(G59,'Industry Averages (Global)'!$A$2:$O$95,15))</f>
        <v>0</v>
      </c>
      <c r="J59" s="403" t="n">
        <f aca="false">H59*I59</f>
        <v>0</v>
      </c>
      <c r="K59" s="402" t="n">
        <f aca="false">IF(G59=0,,VLOOKUP(G59,'Industry Averages (Global)'!$A$2:$O$95,7))</f>
        <v>0</v>
      </c>
      <c r="L59" s="396" t="n">
        <f aca="false">IF(I59=0,0,VLOOKUP(G59,'Industry Averages (Global)'!$A$2:$M$95,13))</f>
        <v>0</v>
      </c>
    </row>
    <row r="60" customFormat="false" ht="13.5" hidden="false" customHeight="true" outlineLevel="0" collapsed="false">
      <c r="A60" s="360" t="s">
        <v>789</v>
      </c>
      <c r="B60" s="361" t="n">
        <f aca="false">B18*B19</f>
        <v>89733.0891205216</v>
      </c>
      <c r="C60" s="415" t="n">
        <f aca="false">C53+C54+C55</f>
        <v>19364.8736994316</v>
      </c>
      <c r="D60" s="361" t="n">
        <f aca="false">B48*B49</f>
        <v>0</v>
      </c>
      <c r="E60" s="415" t="n">
        <f aca="false">SUM(B60:D60)</f>
        <v>109097.962819953</v>
      </c>
      <c r="F60" s="266"/>
      <c r="G60" s="377"/>
      <c r="H60" s="401"/>
      <c r="I60" s="402" t="n">
        <f aca="false">IF(G60=0,,VLOOKUP(G60,'Industry Averages (Global)'!$A$2:$O$95,15))</f>
        <v>0</v>
      </c>
      <c r="J60" s="403" t="n">
        <f aca="false">H60*I60</f>
        <v>0</v>
      </c>
      <c r="K60" s="402" t="n">
        <f aca="false">IF(G60=0,,VLOOKUP(G60,'Industry Averages (Global)'!$A$2:$O$95,7))</f>
        <v>0</v>
      </c>
      <c r="L60" s="396" t="n">
        <f aca="false">IF(I60=0,0,VLOOKUP(G60,'Industry Averages (Global)'!$A$2:$M$95,13))</f>
        <v>0</v>
      </c>
      <c r="M60" s="407" t="s">
        <v>790</v>
      </c>
      <c r="N60" s="407"/>
      <c r="O60" s="407"/>
    </row>
    <row r="61" customFormat="false" ht="15" hidden="false" customHeight="true" outlineLevel="0" collapsed="false">
      <c r="A61" s="360" t="s">
        <v>791</v>
      </c>
      <c r="B61" s="378" t="n">
        <f aca="false">B60/$E$60</f>
        <v>0.822500134751463</v>
      </c>
      <c r="C61" s="378" t="n">
        <f aca="false">C60/$E$60</f>
        <v>0.177499865248537</v>
      </c>
      <c r="D61" s="378" t="n">
        <f aca="false">D60/$E$60</f>
        <v>0</v>
      </c>
      <c r="E61" s="416" t="n">
        <f aca="false">SUM(B61:D61)</f>
        <v>1</v>
      </c>
      <c r="F61" s="266"/>
      <c r="G61" s="377"/>
      <c r="H61" s="401"/>
      <c r="I61" s="402" t="n">
        <f aca="false">IF(G61=0,,VLOOKUP(G61,'Industry Averages (Global)'!$A$2:$O$95,15))</f>
        <v>0</v>
      </c>
      <c r="J61" s="403" t="n">
        <f aca="false">H61*I61</f>
        <v>0</v>
      </c>
      <c r="K61" s="402" t="n">
        <f aca="false">IF(G61=0,,VLOOKUP(G61,'Industry Averages (Global)'!$A$2:$O$95,7))</f>
        <v>0</v>
      </c>
      <c r="L61" s="396" t="n">
        <f aca="false">IF(I61=0,0,VLOOKUP(G61,'Industry Averages (Global)'!$A$2:$M$95,13))</f>
        <v>0</v>
      </c>
      <c r="M61" s="407"/>
      <c r="N61" s="407"/>
      <c r="O61" s="407"/>
    </row>
    <row r="62" customFormat="false" ht="15" hidden="false" customHeight="true" outlineLevel="0" collapsed="false">
      <c r="A62" s="360" t="s">
        <v>792</v>
      </c>
      <c r="B62" s="378" t="n">
        <f aca="false">B24+C57*B27</f>
        <v>0.124149307643586</v>
      </c>
      <c r="C62" s="378" t="n">
        <f aca="false">B37*(1-B38)</f>
        <v>0.04788427</v>
      </c>
      <c r="D62" s="417" t="n">
        <f aca="false">B50/B49</f>
        <v>0.07625</v>
      </c>
      <c r="E62" s="418" t="n">
        <f aca="false">B61*B62+C61*C62+D61*D62</f>
        <v>0.110612273738674</v>
      </c>
      <c r="F62" s="266"/>
      <c r="G62" s="377"/>
      <c r="H62" s="401"/>
      <c r="I62" s="402" t="n">
        <f aca="false">IF(G62=0,,VLOOKUP(G62,'Industry Averages (Global)'!$A$2:$O$95,15))</f>
        <v>0</v>
      </c>
      <c r="J62" s="403" t="n">
        <f aca="false">H62*I62</f>
        <v>0</v>
      </c>
      <c r="K62" s="402" t="n">
        <f aca="false">IF(G62=0,,VLOOKUP(G62,'Industry Averages (Global)'!$A$2:$O$95,7))</f>
        <v>0</v>
      </c>
      <c r="L62" s="396" t="n">
        <f aca="false">IF(I62=0,0,VLOOKUP(G62,'Industry Averages (Global)'!$A$2:$M$95,13))</f>
        <v>0</v>
      </c>
      <c r="M62" s="407"/>
      <c r="N62" s="407"/>
      <c r="O62" s="407"/>
    </row>
    <row r="63" customFormat="false" ht="13.5" hidden="false" customHeight="true" outlineLevel="0" collapsed="false">
      <c r="G63" s="377"/>
      <c r="H63" s="401"/>
      <c r="I63" s="402" t="n">
        <f aca="false">IF(G63=0,,VLOOKUP(G63,'Industry Averages (Global)'!$A$2:$O$95,15))</f>
        <v>0</v>
      </c>
      <c r="J63" s="403" t="n">
        <f aca="false">H63*I63</f>
        <v>0</v>
      </c>
      <c r="K63" s="402" t="n">
        <f aca="false">IF(G63=0,,VLOOKUP(G63,'Industry Averages (Global)'!$A$2:$O$95,7))</f>
        <v>0</v>
      </c>
      <c r="L63" s="396" t="n">
        <f aca="false">IF(I63=0,0,VLOOKUP(G63,'Industry Averages (Global)'!$A$2:$M$95,13))</f>
        <v>0</v>
      </c>
      <c r="M63" s="407"/>
      <c r="N63" s="407"/>
      <c r="O63" s="407"/>
    </row>
    <row r="64" customFormat="false" ht="15" hidden="false" customHeight="true" outlineLevel="0" collapsed="false">
      <c r="G64" s="408" t="s">
        <v>32</v>
      </c>
      <c r="H64" s="409" t="n">
        <f aca="false">SUM(H52:H63)</f>
        <v>81363</v>
      </c>
      <c r="I64" s="410"/>
      <c r="J64" s="403" t="n">
        <f aca="false">SUM(J52:J63)</f>
        <v>181320.538703137</v>
      </c>
      <c r="K64" s="410" t="n">
        <f aca="false">K52*(J52/J64)+K53*J53/J64+K54*J54/J64+K55*J55/J64+K56*J56/J64+K57*J57/J64+K58*J58/J64+K59*J59/J64+K60*J60/J64+K61*J61/J64+K62*J62/J64+K63*J63/J64</f>
        <v>1.56850480083524</v>
      </c>
      <c r="L64" s="412" t="n">
        <f aca="false">L52*(J52/J64)+L53*J53/J64+L54*J54/J64+L55*J55/J64+L56*J56/J64+L57*J57/J64+L58*J58/J64+L59*J59/J64+L60*J60/J64+L61*J61/J64+L62*J62/J64+L63*J63/J64</f>
        <v>0.118760244487379</v>
      </c>
      <c r="M64" s="407"/>
      <c r="N64" s="407"/>
      <c r="O64" s="407"/>
    </row>
    <row r="65" customFormat="false" ht="16.5" hidden="false" customHeight="true" outlineLevel="0" collapsed="false">
      <c r="A65" s="419" t="s">
        <v>793</v>
      </c>
      <c r="B65" s="419"/>
      <c r="C65" s="419"/>
      <c r="D65" s="419"/>
      <c r="E65" s="419"/>
      <c r="F65" s="419"/>
    </row>
    <row r="66" customFormat="false" ht="15" hidden="false" customHeight="true" outlineLevel="0" collapsed="false">
      <c r="A66" s="266" t="s">
        <v>794</v>
      </c>
      <c r="B66" s="420" t="s">
        <v>116</v>
      </c>
    </row>
    <row r="67" customFormat="false" ht="13.5" hidden="false" customHeight="true" outlineLevel="0" collapsed="false">
      <c r="A67" s="98" t="s">
        <v>795</v>
      </c>
      <c r="B67" s="421" t="n">
        <f aca="false">IF(B66="Single Business(US)",(VLOOKUP('Input sheet'!B8,'Industry Averages(US)'!A2:M95,13)+('Input sheet'!B34-4.58%)),IF(B66="Multibusiness(US)",L48+('Input sheet'!B34-4.58%),IF(B66="Single Business(Global)",(VLOOKUP('Input sheet'!B8,'Industry Averages (Global)'!A2:M95,13)+('Input sheet'!B34-4.58%)),L64+('Input sheet'!B34-4.58%))))</f>
        <v>0.0956153138772877</v>
      </c>
    </row>
    <row r="68" customFormat="false" ht="13.5" hidden="false" customHeight="true" outlineLevel="0" collapsed="false"/>
    <row r="69" customFormat="false" ht="16.5" hidden="false" customHeight="true" outlineLevel="0" collapsed="false">
      <c r="A69" s="419" t="s">
        <v>796</v>
      </c>
      <c r="B69" s="419"/>
      <c r="C69" s="419"/>
      <c r="D69" s="419"/>
      <c r="E69" s="419"/>
      <c r="F69" s="419"/>
    </row>
    <row r="70" customFormat="false" ht="12.75" hidden="false" customHeight="true" outlineLevel="0" collapsed="false">
      <c r="A70" s="98" t="s">
        <v>797</v>
      </c>
      <c r="B70" s="422" t="s">
        <v>798</v>
      </c>
    </row>
    <row r="71" customFormat="false" ht="12.75" hidden="false" customHeight="true" outlineLevel="0" collapsed="false">
      <c r="A71" s="98" t="s">
        <v>799</v>
      </c>
      <c r="B71" s="422" t="s">
        <v>271</v>
      </c>
    </row>
    <row r="72" customFormat="false" ht="12.75" hidden="false" customHeight="true" outlineLevel="0" collapsed="false">
      <c r="A72" s="98" t="s">
        <v>800</v>
      </c>
      <c r="B72" s="412" t="n">
        <f aca="false">VLOOKUP(B70,A75:F79,IF(B71="First Decile",2,IF(B71="First Quartile",3,IF(B71="Median",4,IF(B71="Third Quartile",5,6)))))</f>
        <v>0.077903913191275</v>
      </c>
    </row>
    <row r="74" customFormat="false" ht="13.5" hidden="false" customHeight="true" outlineLevel="0" collapsed="false">
      <c r="A74" s="423" t="s">
        <v>747</v>
      </c>
      <c r="B74" s="424" t="s">
        <v>801</v>
      </c>
      <c r="C74" s="425" t="s">
        <v>802</v>
      </c>
      <c r="D74" s="425" t="s">
        <v>271</v>
      </c>
      <c r="E74" s="425" t="s">
        <v>803</v>
      </c>
      <c r="F74" s="425" t="s">
        <v>804</v>
      </c>
    </row>
    <row r="75" customFormat="false" ht="12.75" hidden="false" customHeight="true" outlineLevel="0" collapsed="false">
      <c r="A75" s="423" t="s">
        <v>805</v>
      </c>
      <c r="B75" s="426" t="n">
        <v>0.066532332574995</v>
      </c>
      <c r="C75" s="426" t="n">
        <v>0.0762870404314534</v>
      </c>
      <c r="D75" s="426" t="n">
        <v>0.0895434103041611</v>
      </c>
      <c r="E75" s="426" t="n">
        <v>0.106923420460042</v>
      </c>
      <c r="F75" s="426" t="n">
        <v>0.125494141848594</v>
      </c>
      <c r="H75" s="427"/>
      <c r="I75" s="427"/>
      <c r="J75" s="427"/>
      <c r="K75" s="427"/>
      <c r="L75" s="427"/>
      <c r="N75" s="428"/>
      <c r="O75" s="428"/>
      <c r="P75" s="428"/>
      <c r="Q75" s="428"/>
      <c r="R75" s="428"/>
    </row>
    <row r="76" customFormat="false" ht="12.75" hidden="false" customHeight="true" outlineLevel="0" collapsed="false">
      <c r="A76" s="423" t="s">
        <v>806</v>
      </c>
      <c r="B76" s="426" t="n">
        <v>0.0599193845504732</v>
      </c>
      <c r="C76" s="426" t="n">
        <v>0.0682857736530744</v>
      </c>
      <c r="D76" s="426" t="n">
        <v>0.0822253938341346</v>
      </c>
      <c r="E76" s="426" t="n">
        <v>0.0957138768644331</v>
      </c>
      <c r="F76" s="426" t="n">
        <v>0.110241149096839</v>
      </c>
      <c r="H76" s="427"/>
      <c r="I76" s="427"/>
      <c r="J76" s="427"/>
      <c r="K76" s="427"/>
      <c r="L76" s="427"/>
      <c r="N76" s="428"/>
      <c r="O76" s="428"/>
      <c r="P76" s="428"/>
      <c r="Q76" s="428"/>
      <c r="R76" s="428"/>
    </row>
    <row r="77" customFormat="false" ht="12.75" hidden="false" customHeight="true" outlineLevel="0" collapsed="false">
      <c r="A77" s="423" t="s">
        <v>807</v>
      </c>
      <c r="B77" s="426" t="n">
        <v>0.0628222615048004</v>
      </c>
      <c r="C77" s="426" t="n">
        <v>0.0724488255585608</v>
      </c>
      <c r="D77" s="426" t="n">
        <v>0.0865088987498397</v>
      </c>
      <c r="E77" s="426" t="n">
        <v>0.100287313945416</v>
      </c>
      <c r="F77" s="426" t="n">
        <v>0.116631464681193</v>
      </c>
      <c r="H77" s="427"/>
      <c r="I77" s="427"/>
      <c r="J77" s="427"/>
      <c r="K77" s="427"/>
      <c r="L77" s="427"/>
      <c r="N77" s="428"/>
      <c r="O77" s="428"/>
      <c r="P77" s="428"/>
      <c r="Q77" s="428"/>
      <c r="R77" s="428"/>
    </row>
    <row r="78" customFormat="false" ht="12.75" hidden="false" customHeight="true" outlineLevel="0" collapsed="false">
      <c r="A78" s="423" t="s">
        <v>808</v>
      </c>
      <c r="B78" s="426" t="n">
        <v>0.0629567936153311</v>
      </c>
      <c r="C78" s="426" t="n">
        <v>0.0707380685850607</v>
      </c>
      <c r="D78" s="426" t="n">
        <v>0.0823793480486738</v>
      </c>
      <c r="E78" s="426" t="n">
        <v>0.0943469841061279</v>
      </c>
      <c r="F78" s="426" t="n">
        <v>0.107319700894456</v>
      </c>
      <c r="H78" s="427"/>
      <c r="I78" s="427"/>
      <c r="J78" s="427"/>
      <c r="K78" s="427"/>
      <c r="L78" s="427"/>
      <c r="N78" s="428"/>
      <c r="O78" s="428"/>
      <c r="P78" s="428"/>
      <c r="Q78" s="428"/>
      <c r="R78" s="428"/>
    </row>
    <row r="79" customFormat="false" ht="12.75" hidden="false" customHeight="true" outlineLevel="0" collapsed="false">
      <c r="A79" s="423" t="s">
        <v>798</v>
      </c>
      <c r="B79" s="426" t="n">
        <v>0.0526007882763119</v>
      </c>
      <c r="C79" s="426" t="n">
        <v>0.0641103409054745</v>
      </c>
      <c r="D79" s="426" t="n">
        <v>0.077903913191275</v>
      </c>
      <c r="E79" s="426" t="n">
        <v>0.0916225864273368</v>
      </c>
      <c r="F79" s="426" t="n">
        <v>0.098770423360608</v>
      </c>
      <c r="H79" s="427"/>
      <c r="I79" s="427"/>
      <c r="J79" s="427"/>
      <c r="K79" s="427"/>
      <c r="L79" s="427"/>
      <c r="N79" s="428"/>
      <c r="O79" s="428"/>
      <c r="P79" s="428"/>
      <c r="Q79" s="428"/>
      <c r="R79" s="428"/>
    </row>
    <row r="80" customFormat="false" ht="12.75" hidden="false" customHeight="true" outlineLevel="0" collapsed="false">
      <c r="A80" s="429" t="s">
        <v>809</v>
      </c>
      <c r="B80" s="429"/>
      <c r="C80" s="429"/>
      <c r="D80" s="429"/>
      <c r="E80" s="429"/>
      <c r="F80" s="429"/>
    </row>
    <row r="81" customFormat="false" ht="12.75" hidden="false" customHeight="true" outlineLevel="0" collapsed="false">
      <c r="A81" s="429"/>
      <c r="B81" s="429"/>
      <c r="C81" s="429"/>
      <c r="D81" s="429"/>
      <c r="E81" s="429"/>
      <c r="F81" s="429"/>
    </row>
    <row r="84" customFormat="false" ht="12.75" hidden="false" customHeight="true" outlineLevel="0" collapsed="false">
      <c r="B84" s="430"/>
      <c r="C84" s="431"/>
      <c r="D84" s="431"/>
      <c r="E84" s="431"/>
      <c r="F84" s="431"/>
    </row>
    <row r="85" customFormat="false" ht="12.75" hidden="false" customHeight="true" outlineLevel="0" collapsed="false">
      <c r="B85" s="432"/>
      <c r="C85" s="432"/>
      <c r="D85" s="432"/>
      <c r="E85" s="432"/>
      <c r="F85" s="427"/>
    </row>
    <row r="86" customFormat="false" ht="12.75" hidden="false" customHeight="true" outlineLevel="0" collapsed="false">
      <c r="B86" s="432"/>
      <c r="C86" s="432"/>
      <c r="D86" s="432"/>
      <c r="E86" s="432"/>
      <c r="F86" s="427"/>
    </row>
    <row r="87" customFormat="false" ht="12.75" hidden="false" customHeight="true" outlineLevel="0" collapsed="false">
      <c r="B87" s="432"/>
      <c r="C87" s="432"/>
      <c r="D87" s="432"/>
      <c r="E87" s="432"/>
      <c r="F87" s="427"/>
    </row>
    <row r="88" customFormat="false" ht="12.75" hidden="false" customHeight="true" outlineLevel="0" collapsed="false">
      <c r="B88" s="432"/>
      <c r="C88" s="432"/>
      <c r="D88" s="432"/>
      <c r="E88" s="432"/>
      <c r="F88" s="427"/>
    </row>
    <row r="89" customFormat="false" ht="12.75" hidden="false" customHeight="true" outlineLevel="0" collapsed="false">
      <c r="B89" s="432"/>
      <c r="C89" s="432"/>
      <c r="D89" s="432"/>
      <c r="E89" s="432"/>
      <c r="F89" s="427"/>
    </row>
    <row r="91" customFormat="false" ht="12.75" hidden="false" customHeight="true" outlineLevel="0" collapsed="false">
      <c r="B91" s="432"/>
      <c r="C91" s="432"/>
      <c r="D91" s="432"/>
      <c r="E91" s="432"/>
      <c r="F91" s="432"/>
    </row>
  </sheetData>
  <mergeCells count="10">
    <mergeCell ref="A1:K2"/>
    <mergeCell ref="A3:E3"/>
    <mergeCell ref="A4:E9"/>
    <mergeCell ref="M5:Q19"/>
    <mergeCell ref="A15:F15"/>
    <mergeCell ref="M44:O48"/>
    <mergeCell ref="M60:O64"/>
    <mergeCell ref="A65:F65"/>
    <mergeCell ref="A69:F69"/>
    <mergeCell ref="A80:F81"/>
  </mergeCells>
  <dataValidations count="1">
    <dataValidation allowBlank="true" errorStyle="stop" operator="between" showDropDown="false" showErrorMessage="true" showInputMessage="true" sqref="B70" type="list">
      <formula1>$A$75:$A$79</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39" activeCellId="0" sqref="G39"/>
    </sheetView>
  </sheetViews>
  <sheetFormatPr defaultColWidth="10.73046875" defaultRowHeight="12.75" customHeight="false" zeroHeight="false" outlineLevelRow="0" outlineLevelCol="0"/>
  <sheetData>
    <row r="1" s="433" customFormat="true" ht="22.5" hidden="false" customHeight="true" outlineLevel="0" collapsed="false">
      <c r="A1" s="433" t="s">
        <v>810</v>
      </c>
    </row>
    <row r="2" s="434" customFormat="true" ht="18" hidden="false" customHeight="true" outlineLevel="0" collapsed="false">
      <c r="A2" s="434" t="s">
        <v>811</v>
      </c>
    </row>
    <row r="3" customFormat="false" ht="13.5" hidden="false" customHeight="true" outlineLevel="0" collapsed="false"/>
    <row r="4" customFormat="false" ht="15" hidden="false" customHeight="true" outlineLevel="0" collapsed="false">
      <c r="A4" s="435" t="s">
        <v>550</v>
      </c>
      <c r="B4" s="435"/>
      <c r="C4" s="435"/>
      <c r="D4" s="435"/>
      <c r="E4" s="435"/>
      <c r="F4" s="435"/>
      <c r="G4" s="435"/>
      <c r="H4" s="435"/>
      <c r="I4" s="435"/>
      <c r="J4" s="435"/>
      <c r="K4" s="435"/>
    </row>
    <row r="5" customFormat="false" ht="15.75" hidden="false" customHeight="true" outlineLevel="0" collapsed="false">
      <c r="A5" s="317" t="s">
        <v>552</v>
      </c>
      <c r="B5" s="318" t="n">
        <v>1</v>
      </c>
      <c r="C5" s="318" t="n">
        <v>2</v>
      </c>
      <c r="D5" s="318" t="n">
        <v>3</v>
      </c>
      <c r="E5" s="318" t="n">
        <v>4</v>
      </c>
      <c r="F5" s="318" t="n">
        <v>5</v>
      </c>
      <c r="G5" s="318" t="n">
        <v>6</v>
      </c>
      <c r="H5" s="318" t="n">
        <v>7</v>
      </c>
      <c r="I5" s="318" t="n">
        <v>8</v>
      </c>
      <c r="J5" s="318" t="n">
        <v>9</v>
      </c>
      <c r="K5" s="318" t="n">
        <v>10</v>
      </c>
    </row>
    <row r="6" customFormat="false" ht="15.75" hidden="false" customHeight="true" outlineLevel="0" collapsed="false">
      <c r="A6" s="319" t="s">
        <v>557</v>
      </c>
      <c r="B6" s="320" t="n">
        <v>0</v>
      </c>
      <c r="C6" s="320" t="n">
        <v>0.0003</v>
      </c>
      <c r="D6" s="320" t="n">
        <v>0.0013</v>
      </c>
      <c r="E6" s="320" t="n">
        <v>0.0024</v>
      </c>
      <c r="F6" s="320" t="n">
        <v>0.0035</v>
      </c>
      <c r="G6" s="320" t="n">
        <v>0.0045</v>
      </c>
      <c r="H6" s="320" t="n">
        <v>0.0051</v>
      </c>
      <c r="I6" s="320" t="n">
        <v>0.0059</v>
      </c>
      <c r="J6" s="320" t="n">
        <v>0.0064</v>
      </c>
      <c r="K6" s="320" t="n">
        <v>0.007</v>
      </c>
    </row>
    <row r="7" customFormat="false" ht="15.75" hidden="false" customHeight="true" outlineLevel="0" collapsed="false">
      <c r="A7" s="319" t="s">
        <v>559</v>
      </c>
      <c r="B7" s="320" t="n">
        <v>0.0002</v>
      </c>
      <c r="C7" s="320" t="n">
        <v>0.0006</v>
      </c>
      <c r="D7" s="320" t="n">
        <v>0.0012</v>
      </c>
      <c r="E7" s="320" t="n">
        <v>0.0021</v>
      </c>
      <c r="F7" s="320" t="n">
        <v>0.0031</v>
      </c>
      <c r="G7" s="320" t="n">
        <v>0.0042</v>
      </c>
      <c r="H7" s="320" t="n">
        <v>0.005</v>
      </c>
      <c r="I7" s="320" t="n">
        <v>0.0058</v>
      </c>
      <c r="J7" s="320" t="n">
        <v>0.0065</v>
      </c>
      <c r="K7" s="320" t="n">
        <v>0.0072</v>
      </c>
    </row>
    <row r="8" customFormat="false" ht="15.75" hidden="false" customHeight="true" outlineLevel="0" collapsed="false">
      <c r="A8" s="319" t="s">
        <v>561</v>
      </c>
      <c r="B8" s="320" t="n">
        <v>0.0005</v>
      </c>
      <c r="C8" s="320" t="n">
        <v>0.0014</v>
      </c>
      <c r="D8" s="320" t="n">
        <v>0.0023</v>
      </c>
      <c r="E8" s="320" t="n">
        <v>0.0035</v>
      </c>
      <c r="F8" s="320" t="n">
        <v>0.0047</v>
      </c>
      <c r="G8" s="320" t="n">
        <v>0.0062</v>
      </c>
      <c r="H8" s="320" t="n">
        <v>0.0079</v>
      </c>
      <c r="I8" s="320" t="n">
        <v>0.0093</v>
      </c>
      <c r="J8" s="320" t="n">
        <v>0.0108</v>
      </c>
      <c r="K8" s="320" t="n">
        <v>0.0124</v>
      </c>
    </row>
    <row r="9" customFormat="false" ht="15.75" hidden="false" customHeight="true" outlineLevel="0" collapsed="false">
      <c r="A9" s="319" t="s">
        <v>563</v>
      </c>
      <c r="B9" s="320" t="n">
        <v>0.0016</v>
      </c>
      <c r="C9" s="320" t="n">
        <v>0.0045</v>
      </c>
      <c r="D9" s="320" t="n">
        <v>0.0078</v>
      </c>
      <c r="E9" s="320" t="n">
        <v>0.0117</v>
      </c>
      <c r="F9" s="320" t="n">
        <v>0.0158</v>
      </c>
      <c r="G9" s="320" t="n">
        <v>0.0198</v>
      </c>
      <c r="H9" s="320" t="n">
        <v>0.0233</v>
      </c>
      <c r="I9" s="320" t="n">
        <v>0.0267</v>
      </c>
      <c r="J9" s="320" t="n">
        <v>0.03</v>
      </c>
      <c r="K9" s="320" t="n">
        <v>0.0332</v>
      </c>
    </row>
    <row r="10" customFormat="false" ht="15.75" hidden="false" customHeight="true" outlineLevel="0" collapsed="false">
      <c r="A10" s="319" t="s">
        <v>565</v>
      </c>
      <c r="B10" s="320" t="n">
        <v>0.0061</v>
      </c>
      <c r="C10" s="320" t="n">
        <v>0.0192</v>
      </c>
      <c r="D10" s="320" t="n">
        <v>0.0348</v>
      </c>
      <c r="E10" s="320" t="n">
        <v>0.0505</v>
      </c>
      <c r="F10" s="320" t="n">
        <v>0.0652</v>
      </c>
      <c r="G10" s="320" t="n">
        <v>0.0785</v>
      </c>
      <c r="H10" s="320" t="n">
        <v>0.0901</v>
      </c>
      <c r="I10" s="320" t="n">
        <v>0.1004</v>
      </c>
      <c r="J10" s="320" t="n">
        <v>0.1097</v>
      </c>
      <c r="K10" s="320" t="n">
        <v>0.1178</v>
      </c>
    </row>
    <row r="11" customFormat="false" ht="15.75" hidden="false" customHeight="true" outlineLevel="0" collapsed="false">
      <c r="A11" s="319" t="s">
        <v>567</v>
      </c>
      <c r="B11" s="320" t="n">
        <v>0.0333</v>
      </c>
      <c r="C11" s="320" t="n">
        <v>0.0771</v>
      </c>
      <c r="D11" s="320" t="n">
        <v>0.1155</v>
      </c>
      <c r="E11" s="320" t="n">
        <v>0.1458</v>
      </c>
      <c r="F11" s="320" t="n">
        <v>0.1693</v>
      </c>
      <c r="G11" s="320" t="n">
        <v>0.1883</v>
      </c>
      <c r="H11" s="320" t="n">
        <v>0.2036</v>
      </c>
      <c r="I11" s="320" t="n">
        <v>0.216</v>
      </c>
      <c r="J11" s="320" t="n">
        <v>0.227</v>
      </c>
      <c r="K11" s="320" t="n">
        <v>0.2374</v>
      </c>
    </row>
    <row r="12" customFormat="false" ht="15.75" hidden="false" customHeight="true" outlineLevel="0" collapsed="false">
      <c r="A12" s="319" t="s">
        <v>569</v>
      </c>
      <c r="B12" s="320" t="n">
        <v>0.2708</v>
      </c>
      <c r="C12" s="320" t="n">
        <v>0.3664</v>
      </c>
      <c r="D12" s="320" t="n">
        <v>0.4141</v>
      </c>
      <c r="E12" s="320" t="n">
        <v>0.441</v>
      </c>
      <c r="F12" s="320" t="n">
        <v>0.4619</v>
      </c>
      <c r="G12" s="320" t="n">
        <v>0.4709</v>
      </c>
      <c r="H12" s="320" t="n">
        <v>0.4826</v>
      </c>
      <c r="I12" s="320" t="n">
        <v>0.4905</v>
      </c>
      <c r="J12" s="320" t="n">
        <v>0.4976</v>
      </c>
      <c r="K12" s="320" t="n">
        <v>0.5038</v>
      </c>
    </row>
    <row r="14" customFormat="false" ht="15.75" hidden="false" customHeight="true" outlineLevel="0" collapsed="false">
      <c r="A14" s="436" t="s">
        <v>812</v>
      </c>
    </row>
    <row r="16" s="434" customFormat="true" ht="18" hidden="false" customHeight="true" outlineLevel="0" collapsed="false">
      <c r="A16" s="434" t="s">
        <v>813</v>
      </c>
    </row>
    <row r="17" customFormat="false" ht="12.75" hidden="false" customHeight="true" outlineLevel="0" collapsed="false">
      <c r="O17" s="437" t="s">
        <v>814</v>
      </c>
      <c r="P17" s="437"/>
      <c r="Q17" s="437"/>
      <c r="R17" s="437"/>
      <c r="S17" s="437"/>
      <c r="T17" s="437"/>
      <c r="U17" s="437"/>
      <c r="V17" s="437"/>
      <c r="W17" s="437"/>
      <c r="X17" s="437"/>
    </row>
    <row r="18" customFormat="false" ht="15.75" hidden="false" customHeight="true" outlineLevel="0" collapsed="false">
      <c r="A18" s="438"/>
      <c r="B18" s="439"/>
      <c r="C18" s="440" t="s">
        <v>815</v>
      </c>
      <c r="D18" s="440" t="s">
        <v>816</v>
      </c>
      <c r="E18" s="440" t="s">
        <v>817</v>
      </c>
      <c r="F18" s="440" t="s">
        <v>818</v>
      </c>
      <c r="G18" s="440" t="s">
        <v>819</v>
      </c>
      <c r="H18" s="440" t="s">
        <v>820</v>
      </c>
      <c r="I18" s="440" t="s">
        <v>821</v>
      </c>
      <c r="J18" s="440" t="s">
        <v>822</v>
      </c>
      <c r="K18" s="440" t="s">
        <v>823</v>
      </c>
      <c r="L18" s="440" t="s">
        <v>824</v>
      </c>
      <c r="O18" s="440" t="s">
        <v>815</v>
      </c>
      <c r="P18" s="440" t="s">
        <v>816</v>
      </c>
      <c r="Q18" s="440" t="s">
        <v>817</v>
      </c>
      <c r="R18" s="440" t="s">
        <v>818</v>
      </c>
      <c r="S18" s="440" t="s">
        <v>819</v>
      </c>
      <c r="T18" s="440" t="s">
        <v>820</v>
      </c>
      <c r="U18" s="440" t="s">
        <v>821</v>
      </c>
      <c r="V18" s="440" t="s">
        <v>822</v>
      </c>
      <c r="W18" s="440" t="s">
        <v>823</v>
      </c>
      <c r="X18" s="440" t="s">
        <v>824</v>
      </c>
    </row>
    <row r="19" customFormat="false" ht="15.75" hidden="false" customHeight="true" outlineLevel="0" collapsed="false">
      <c r="A19" s="441" t="s">
        <v>825</v>
      </c>
      <c r="B19" s="442" t="n">
        <v>0</v>
      </c>
      <c r="C19" s="443" t="n">
        <f aca="false">1-O28</f>
        <v>0.551</v>
      </c>
      <c r="D19" s="443" t="n">
        <f aca="false">1-P28</f>
        <v>0.677</v>
      </c>
      <c r="E19" s="443" t="n">
        <f aca="false">1-Q28</f>
        <v>0.551</v>
      </c>
      <c r="F19" s="443" t="n">
        <f aca="false">1-R28</f>
        <v>0.753</v>
      </c>
      <c r="G19" s="443" t="n">
        <f aca="false">1-S28</f>
        <v>0.619</v>
      </c>
      <c r="H19" s="443" t="n">
        <f aca="false">1-T28</f>
        <v>0.61</v>
      </c>
      <c r="I19" s="443" t="n">
        <f aca="false">1-U28</f>
        <v>0.716</v>
      </c>
      <c r="J19" s="443" t="n">
        <f aca="false">1-V28</f>
        <v>0.745</v>
      </c>
      <c r="K19" s="443" t="n">
        <f aca="false">1-W28</f>
        <v>0.575</v>
      </c>
      <c r="L19" s="443" t="n">
        <f aca="false">1-X28</f>
        <v>0.672</v>
      </c>
      <c r="N19" s="98" t="n">
        <v>1</v>
      </c>
      <c r="O19" s="427" t="n">
        <v>0.823</v>
      </c>
      <c r="P19" s="427" t="n">
        <v>0.818</v>
      </c>
      <c r="Q19" s="427" t="n">
        <v>0.84</v>
      </c>
      <c r="R19" s="427" t="n">
        <v>0.743</v>
      </c>
      <c r="S19" s="427" t="n">
        <v>0.828</v>
      </c>
      <c r="T19" s="427" t="n">
        <v>0.831</v>
      </c>
      <c r="U19" s="427" t="n">
        <v>0.769</v>
      </c>
      <c r="V19" s="427" t="n">
        <v>0.752</v>
      </c>
      <c r="W19" s="427" t="n">
        <v>0.814</v>
      </c>
      <c r="X19" s="427" t="n">
        <v>0.783</v>
      </c>
    </row>
    <row r="20" customFormat="false" ht="15.75" hidden="false" customHeight="true" outlineLevel="0" collapsed="false">
      <c r="A20" s="441"/>
      <c r="B20" s="442" t="n">
        <v>1</v>
      </c>
      <c r="C20" s="443" t="n">
        <f aca="false">O19-O$28</f>
        <v>0.374</v>
      </c>
      <c r="D20" s="443" t="n">
        <f aca="false">P19-P$28</f>
        <v>0.495</v>
      </c>
      <c r="E20" s="443" t="n">
        <f aca="false">Q19-Q$28</f>
        <v>0.391</v>
      </c>
      <c r="F20" s="443" t="n">
        <f aca="false">R19-R$28</f>
        <v>0.496</v>
      </c>
      <c r="G20" s="443" t="n">
        <f aca="false">S19-S$28</f>
        <v>0.447</v>
      </c>
      <c r="H20" s="443" t="n">
        <f aca="false">T19-T$28</f>
        <v>0.441</v>
      </c>
      <c r="I20" s="443" t="n">
        <f aca="false">U19-U$28</f>
        <v>0.485</v>
      </c>
      <c r="J20" s="443" t="n">
        <f aca="false">V19-V$28</f>
        <v>0.497</v>
      </c>
      <c r="K20" s="443" t="n">
        <f aca="false">W19-W$28</f>
        <v>0.389</v>
      </c>
      <c r="L20" s="443" t="n">
        <f aca="false">X19-X$28</f>
        <v>0.455</v>
      </c>
      <c r="N20" s="98" t="n">
        <v>2</v>
      </c>
      <c r="O20" s="427" t="n">
        <v>0.748</v>
      </c>
      <c r="P20" s="427" t="n">
        <v>0.712</v>
      </c>
      <c r="Q20" s="427" t="n">
        <v>0.735</v>
      </c>
      <c r="R20" s="427" t="n">
        <v>0.598</v>
      </c>
      <c r="S20" s="427" t="n">
        <v>0.724</v>
      </c>
      <c r="T20" s="427" t="n">
        <v>0.724</v>
      </c>
      <c r="U20" s="427" t="n">
        <v>0.636</v>
      </c>
      <c r="V20" s="427" t="n">
        <v>0.627</v>
      </c>
      <c r="W20" s="427" t="n">
        <v>0.722</v>
      </c>
      <c r="X20" s="427" t="n">
        <v>0.662</v>
      </c>
    </row>
    <row r="21" customFormat="false" ht="15.75" hidden="false" customHeight="true" outlineLevel="0" collapsed="false">
      <c r="A21" s="441"/>
      <c r="B21" s="442" t="n">
        <v>2</v>
      </c>
      <c r="C21" s="443" t="n">
        <f aca="false">O20-O$28</f>
        <v>0.299</v>
      </c>
      <c r="D21" s="443" t="n">
        <f aca="false">P20-P$28</f>
        <v>0.389</v>
      </c>
      <c r="E21" s="443" t="n">
        <f aca="false">Q20-Q$28</f>
        <v>0.286</v>
      </c>
      <c r="F21" s="443" t="n">
        <f aca="false">R20-R$28</f>
        <v>0.351</v>
      </c>
      <c r="G21" s="443" t="n">
        <f aca="false">S20-S$28</f>
        <v>0.343</v>
      </c>
      <c r="H21" s="443" t="n">
        <f aca="false">T20-T$28</f>
        <v>0.334</v>
      </c>
      <c r="I21" s="443" t="n">
        <f aca="false">U20-U$28</f>
        <v>0.352</v>
      </c>
      <c r="J21" s="443" t="n">
        <f aca="false">V20-V$28</f>
        <v>0.372</v>
      </c>
      <c r="K21" s="443" t="n">
        <f aca="false">W20-W$28</f>
        <v>0.297</v>
      </c>
      <c r="L21" s="443" t="n">
        <f aca="false">X20-X$28</f>
        <v>0.334</v>
      </c>
      <c r="N21" s="98" t="n">
        <v>3</v>
      </c>
      <c r="O21" s="427" t="n">
        <v>0.661</v>
      </c>
      <c r="P21" s="427" t="n">
        <v>0.629</v>
      </c>
      <c r="Q21" s="427" t="n">
        <v>0.67</v>
      </c>
      <c r="R21" s="427" t="n">
        <v>0.456</v>
      </c>
      <c r="S21" s="427" t="n">
        <v>0.622</v>
      </c>
      <c r="T21" s="427" t="n">
        <v>0.631</v>
      </c>
      <c r="U21" s="427" t="n">
        <v>0.523</v>
      </c>
      <c r="V21" s="427" t="n">
        <v>0.533</v>
      </c>
      <c r="W21" s="427" t="n">
        <v>0.674</v>
      </c>
      <c r="X21" s="427" t="n">
        <v>0.566</v>
      </c>
    </row>
    <row r="22" customFormat="false" ht="15.75" hidden="false" customHeight="true" outlineLevel="0" collapsed="false">
      <c r="A22" s="441"/>
      <c r="B22" s="442" t="n">
        <v>3</v>
      </c>
      <c r="C22" s="443" t="n">
        <f aca="false">O21-O$28</f>
        <v>0.212</v>
      </c>
      <c r="D22" s="443" t="n">
        <f aca="false">P21-P$28</f>
        <v>0.306</v>
      </c>
      <c r="E22" s="443" t="n">
        <f aca="false">Q21-Q$28</f>
        <v>0.221</v>
      </c>
      <c r="F22" s="443" t="n">
        <f aca="false">R21-R$28</f>
        <v>0.209</v>
      </c>
      <c r="G22" s="443" t="n">
        <f aca="false">S21-S$28</f>
        <v>0.241</v>
      </c>
      <c r="H22" s="443" t="n">
        <f aca="false">T21-T$28</f>
        <v>0.241</v>
      </c>
      <c r="I22" s="443" t="n">
        <f aca="false">U21-U$28</f>
        <v>0.239</v>
      </c>
      <c r="J22" s="443" t="n">
        <f aca="false">V21-V$28</f>
        <v>0.278</v>
      </c>
      <c r="K22" s="443" t="n">
        <f aca="false">W21-W$28</f>
        <v>0.249</v>
      </c>
      <c r="L22" s="443" t="n">
        <f aca="false">X21-X$28</f>
        <v>0.238</v>
      </c>
      <c r="N22" s="98" t="n">
        <v>4</v>
      </c>
      <c r="O22" s="427" t="n">
        <v>0.612</v>
      </c>
      <c r="P22" s="427" t="n">
        <v>0.538</v>
      </c>
      <c r="Q22" s="427" t="n">
        <v>0.629</v>
      </c>
      <c r="R22" s="427" t="n">
        <v>0.371</v>
      </c>
      <c r="S22" s="427" t="n">
        <v>0.541</v>
      </c>
      <c r="T22" s="427" t="n">
        <v>0.565</v>
      </c>
      <c r="U22" s="427" t="n">
        <v>0.45</v>
      </c>
      <c r="V22" s="427" t="n">
        <v>0.464</v>
      </c>
      <c r="W22" s="427" t="n">
        <v>0.613</v>
      </c>
      <c r="X22" s="427" t="n">
        <v>0.498</v>
      </c>
    </row>
    <row r="23" customFormat="false" ht="15.75" hidden="false" customHeight="true" outlineLevel="0" collapsed="false">
      <c r="A23" s="441"/>
      <c r="B23" s="442" t="n">
        <v>4</v>
      </c>
      <c r="C23" s="443" t="n">
        <f aca="false">O22-O$28</f>
        <v>0.163</v>
      </c>
      <c r="D23" s="443" t="n">
        <f aca="false">P22-P$28</f>
        <v>0.215</v>
      </c>
      <c r="E23" s="443" t="n">
        <f aca="false">Q22-Q$28</f>
        <v>0.18</v>
      </c>
      <c r="F23" s="443" t="n">
        <f aca="false">R22-R$28</f>
        <v>0.124</v>
      </c>
      <c r="G23" s="443" t="n">
        <f aca="false">S22-S$28</f>
        <v>0.16</v>
      </c>
      <c r="H23" s="443" t="n">
        <f aca="false">T22-T$28</f>
        <v>0.175</v>
      </c>
      <c r="I23" s="443" t="n">
        <f aca="false">U22-U$28</f>
        <v>0.166</v>
      </c>
      <c r="J23" s="443" t="n">
        <f aca="false">V22-V$28</f>
        <v>0.209</v>
      </c>
      <c r="K23" s="443" t="n">
        <f aca="false">W22-W$28</f>
        <v>0.188</v>
      </c>
      <c r="L23" s="443" t="n">
        <f aca="false">X22-X$28</f>
        <v>0.17</v>
      </c>
      <c r="N23" s="98" t="n">
        <v>5</v>
      </c>
      <c r="O23" s="427" t="n">
        <v>0.574</v>
      </c>
      <c r="P23" s="427" t="n">
        <v>0.512</v>
      </c>
      <c r="Q23" s="427" t="n">
        <v>0.565</v>
      </c>
      <c r="R23" s="427" t="n">
        <v>0.332</v>
      </c>
      <c r="S23" s="427" t="n">
        <v>0.494</v>
      </c>
      <c r="T23" s="427" t="n">
        <v>0.521</v>
      </c>
      <c r="U23" s="427" t="n">
        <v>0.411</v>
      </c>
      <c r="V23" s="427" t="n">
        <v>0.419</v>
      </c>
      <c r="W23" s="427" t="n">
        <v>0.559</v>
      </c>
      <c r="X23" s="427" t="n">
        <v>0.454</v>
      </c>
    </row>
    <row r="24" customFormat="false" ht="15.75" hidden="false" customHeight="true" outlineLevel="0" collapsed="false">
      <c r="A24" s="441"/>
      <c r="B24" s="442" t="n">
        <v>5</v>
      </c>
      <c r="C24" s="443" t="n">
        <f aca="false">O23-O$28</f>
        <v>0.125</v>
      </c>
      <c r="D24" s="443" t="n">
        <f aca="false">P23-P$28</f>
        <v>0.189</v>
      </c>
      <c r="E24" s="443" t="n">
        <f aca="false">Q23-Q$28</f>
        <v>0.116</v>
      </c>
      <c r="F24" s="443" t="n">
        <f aca="false">R23-R$28</f>
        <v>0.085</v>
      </c>
      <c r="G24" s="443" t="n">
        <f aca="false">S23-S$28</f>
        <v>0.113</v>
      </c>
      <c r="H24" s="443" t="n">
        <f aca="false">T23-T$28</f>
        <v>0.131</v>
      </c>
      <c r="I24" s="443" t="n">
        <f aca="false">U23-U$28</f>
        <v>0.127</v>
      </c>
      <c r="J24" s="443" t="n">
        <f aca="false">V23-V$28</f>
        <v>0.164</v>
      </c>
      <c r="K24" s="443" t="n">
        <f aca="false">W23-W$28</f>
        <v>0.134</v>
      </c>
      <c r="L24" s="443" t="n">
        <f aca="false">X23-X$28</f>
        <v>0.126</v>
      </c>
      <c r="N24" s="98" t="n">
        <v>6</v>
      </c>
      <c r="O24" s="427" t="n">
        <v>0.541</v>
      </c>
      <c r="P24" s="427" t="n">
        <v>0.472</v>
      </c>
      <c r="Q24" s="427" t="n">
        <v>0.556</v>
      </c>
      <c r="R24" s="427" t="n">
        <v>0.306</v>
      </c>
      <c r="S24" s="427" t="n">
        <v>0.463</v>
      </c>
      <c r="T24" s="427" t="n">
        <v>0.485</v>
      </c>
      <c r="U24" s="427" t="n">
        <v>0.377</v>
      </c>
      <c r="V24" s="427" t="n">
        <v>0.372</v>
      </c>
      <c r="W24" s="427" t="n">
        <v>0.548</v>
      </c>
      <c r="X24" s="427" t="n">
        <v>0.423</v>
      </c>
    </row>
    <row r="25" customFormat="false" ht="15.75" hidden="false" customHeight="true" outlineLevel="0" collapsed="false">
      <c r="A25" s="441"/>
      <c r="B25" s="442" t="n">
        <v>6</v>
      </c>
      <c r="C25" s="443" t="n">
        <f aca="false">O24-O$28</f>
        <v>0.092</v>
      </c>
      <c r="D25" s="443" t="n">
        <f aca="false">P24-P$28</f>
        <v>0.149</v>
      </c>
      <c r="E25" s="443" t="n">
        <f aca="false">Q24-Q$28</f>
        <v>0.107</v>
      </c>
      <c r="F25" s="443" t="n">
        <f aca="false">R24-R$28</f>
        <v>0.059</v>
      </c>
      <c r="G25" s="443" t="n">
        <f aca="false">S24-S$28</f>
        <v>0.082</v>
      </c>
      <c r="H25" s="443" t="n">
        <f aca="false">T24-T$28</f>
        <v>0.095</v>
      </c>
      <c r="I25" s="443" t="n">
        <f aca="false">U24-U$28</f>
        <v>0.093</v>
      </c>
      <c r="J25" s="443" t="n">
        <f aca="false">V24-V$28</f>
        <v>0.117</v>
      </c>
      <c r="K25" s="443" t="n">
        <f aca="false">W24-W$28</f>
        <v>0.123</v>
      </c>
      <c r="L25" s="443" t="n">
        <f aca="false">X24-X$28</f>
        <v>0.095</v>
      </c>
      <c r="N25" s="98" t="n">
        <v>7</v>
      </c>
      <c r="O25" s="427" t="n">
        <v>0.516</v>
      </c>
      <c r="P25" s="427" t="n">
        <v>0.429</v>
      </c>
      <c r="Q25" s="427" t="n">
        <v>0.516</v>
      </c>
      <c r="R25" s="427" t="n">
        <v>0.284</v>
      </c>
      <c r="S25" s="427" t="n">
        <v>0.438</v>
      </c>
      <c r="T25" s="427" t="n">
        <v>0.457</v>
      </c>
      <c r="U25" s="427" t="n">
        <v>0.349</v>
      </c>
      <c r="V25" s="427" t="n">
        <v>0.34</v>
      </c>
      <c r="W25" s="427" t="n">
        <v>0.529</v>
      </c>
      <c r="X25" s="427" t="n">
        <v>0.396</v>
      </c>
    </row>
    <row r="26" customFormat="false" ht="15.75" hidden="false" customHeight="true" outlineLevel="0" collapsed="false">
      <c r="A26" s="441"/>
      <c r="B26" s="442" t="n">
        <v>7</v>
      </c>
      <c r="C26" s="443" t="n">
        <f aca="false">O25-O$28</f>
        <v>0.067</v>
      </c>
      <c r="D26" s="443" t="n">
        <f aca="false">P25-P$28</f>
        <v>0.106</v>
      </c>
      <c r="E26" s="443" t="n">
        <f aca="false">Q25-Q$28</f>
        <v>0.067</v>
      </c>
      <c r="F26" s="443" t="n">
        <f aca="false">R25-R$28</f>
        <v>0.037</v>
      </c>
      <c r="G26" s="443" t="n">
        <f aca="false">S25-S$28</f>
        <v>0.057</v>
      </c>
      <c r="H26" s="443" t="n">
        <f aca="false">T25-T$28</f>
        <v>0.067</v>
      </c>
      <c r="I26" s="443" t="n">
        <f aca="false">U25-U$28</f>
        <v>0.065</v>
      </c>
      <c r="J26" s="443" t="n">
        <f aca="false">V25-V$28</f>
        <v>0.085</v>
      </c>
      <c r="K26" s="443" t="n">
        <f aca="false">W25-W$28</f>
        <v>0.104</v>
      </c>
      <c r="L26" s="443" t="n">
        <f aca="false">X25-X$28</f>
        <v>0.068</v>
      </c>
      <c r="N26" s="98" t="n">
        <v>8</v>
      </c>
      <c r="O26" s="427" t="n">
        <v>0.495</v>
      </c>
      <c r="P26" s="427" t="n">
        <v>0.405</v>
      </c>
      <c r="Q26" s="427" t="n">
        <v>0.503</v>
      </c>
      <c r="R26" s="427" t="n">
        <v>0.271</v>
      </c>
      <c r="S26" s="427" t="n">
        <v>0.415</v>
      </c>
      <c r="T26" s="427" t="n">
        <v>0.433</v>
      </c>
      <c r="U26" s="427" t="n">
        <v>0.324</v>
      </c>
      <c r="V26" s="427" t="n">
        <v>0.314</v>
      </c>
      <c r="W26" s="427" t="n">
        <v>0.484</v>
      </c>
      <c r="X26" s="427" t="n">
        <v>0.371</v>
      </c>
    </row>
    <row r="27" customFormat="false" ht="15.75" hidden="false" customHeight="true" outlineLevel="0" collapsed="false">
      <c r="A27" s="441"/>
      <c r="B27" s="442" t="n">
        <v>8</v>
      </c>
      <c r="C27" s="443" t="n">
        <f aca="false">O26-O$28</f>
        <v>0.046</v>
      </c>
      <c r="D27" s="443" t="n">
        <f aca="false">P26-P$28</f>
        <v>0.082</v>
      </c>
      <c r="E27" s="443" t="n">
        <f aca="false">Q26-Q$28</f>
        <v>0.054</v>
      </c>
      <c r="F27" s="443" t="n">
        <f aca="false">R26-R$28</f>
        <v>0.024</v>
      </c>
      <c r="G27" s="443" t="n">
        <f aca="false">S26-S$28</f>
        <v>0.034</v>
      </c>
      <c r="H27" s="443" t="n">
        <f aca="false">T26-T$28</f>
        <v>0.043</v>
      </c>
      <c r="I27" s="443" t="n">
        <f aca="false">U26-U$28</f>
        <v>0.04</v>
      </c>
      <c r="J27" s="443" t="n">
        <f aca="false">V26-V$28</f>
        <v>0.059</v>
      </c>
      <c r="K27" s="443" t="n">
        <f aca="false">W26-W$28</f>
        <v>0.059</v>
      </c>
      <c r="L27" s="443" t="n">
        <f aca="false">X26-X$28</f>
        <v>0.043</v>
      </c>
      <c r="N27" s="98" t="n">
        <v>9</v>
      </c>
      <c r="O27" s="427" t="n">
        <v>0.465</v>
      </c>
      <c r="P27" s="427" t="n">
        <v>0.371</v>
      </c>
      <c r="Q27" s="427" t="n">
        <v>0.476</v>
      </c>
      <c r="R27" s="427" t="n">
        <v>0.258</v>
      </c>
      <c r="S27" s="427" t="n">
        <v>0.4</v>
      </c>
      <c r="T27" s="427" t="n">
        <v>0.41</v>
      </c>
      <c r="U27" s="427" t="n">
        <v>0.305</v>
      </c>
      <c r="V27" s="427" t="n">
        <v>0.274</v>
      </c>
      <c r="W27" s="427" t="n">
        <v>0.455</v>
      </c>
      <c r="X27" s="427" t="n">
        <v>0.348</v>
      </c>
    </row>
    <row r="28" customFormat="false" ht="15.75" hidden="false" customHeight="true" outlineLevel="0" collapsed="false">
      <c r="A28" s="441"/>
      <c r="B28" s="442" t="n">
        <v>9</v>
      </c>
      <c r="C28" s="443" t="n">
        <f aca="false">O27-O$28</f>
        <v>0.016</v>
      </c>
      <c r="D28" s="443" t="n">
        <f aca="false">P27-P$28</f>
        <v>0.048</v>
      </c>
      <c r="E28" s="443" t="n">
        <f aca="false">Q27-Q$28</f>
        <v>0.027</v>
      </c>
      <c r="F28" s="443" t="n">
        <f aca="false">R27-R$28</f>
        <v>0.011</v>
      </c>
      <c r="G28" s="443" t="n">
        <f aca="false">S27-S$28</f>
        <v>0.019</v>
      </c>
      <c r="H28" s="443" t="n">
        <f aca="false">T27-T$28</f>
        <v>0.02</v>
      </c>
      <c r="I28" s="443" t="n">
        <f aca="false">U27-U$28</f>
        <v>0.021</v>
      </c>
      <c r="J28" s="443" t="n">
        <f aca="false">V27-V$28</f>
        <v>0.019</v>
      </c>
      <c r="K28" s="443" t="n">
        <f aca="false">W27-W$28</f>
        <v>0.03</v>
      </c>
      <c r="L28" s="443" t="n">
        <f aca="false">X27-X$28</f>
        <v>0.02</v>
      </c>
      <c r="N28" s="98" t="n">
        <v>10</v>
      </c>
      <c r="O28" s="427" t="n">
        <v>0.449</v>
      </c>
      <c r="P28" s="427" t="n">
        <v>0.323</v>
      </c>
      <c r="Q28" s="427" t="n">
        <v>0.449</v>
      </c>
      <c r="R28" s="427" t="n">
        <v>0.247</v>
      </c>
      <c r="S28" s="427" t="n">
        <v>0.381</v>
      </c>
      <c r="T28" s="427" t="n">
        <v>0.39</v>
      </c>
      <c r="U28" s="427" t="n">
        <v>0.284</v>
      </c>
      <c r="V28" s="427" t="n">
        <v>0.255</v>
      </c>
      <c r="W28" s="427" t="n">
        <v>0.425</v>
      </c>
      <c r="X28" s="427" t="n">
        <v>0.328</v>
      </c>
    </row>
    <row r="29" customFormat="false" ht="15.75" hidden="false" customHeight="true" outlineLevel="0" collapsed="false">
      <c r="B29" s="442" t="n">
        <v>10</v>
      </c>
      <c r="C29" s="443" t="n">
        <f aca="false">O28-O$28</f>
        <v>0</v>
      </c>
      <c r="D29" s="443" t="n">
        <f aca="false">P28-P$28</f>
        <v>0</v>
      </c>
      <c r="E29" s="443" t="n">
        <f aca="false">Q28-Q$28</f>
        <v>0</v>
      </c>
      <c r="F29" s="443" t="n">
        <f aca="false">R28-R$28</f>
        <v>0</v>
      </c>
      <c r="G29" s="443" t="n">
        <f aca="false">S28-S$28</f>
        <v>0</v>
      </c>
      <c r="H29" s="443" t="n">
        <f aca="false">T28-T$28</f>
        <v>0</v>
      </c>
      <c r="I29" s="443" t="n">
        <f aca="false">U28-U$28</f>
        <v>0</v>
      </c>
      <c r="J29" s="443" t="n">
        <f aca="false">V28-V$28</f>
        <v>0</v>
      </c>
      <c r="K29" s="443" t="n">
        <f aca="false">W28-W$28</f>
        <v>0</v>
      </c>
      <c r="L29" s="443" t="n">
        <f aca="false">X28-X$28</f>
        <v>0</v>
      </c>
    </row>
    <row r="30" customFormat="false" ht="15.75" hidden="false" customHeight="true" outlineLevel="0" collapsed="false">
      <c r="A30" s="98" t="s">
        <v>826</v>
      </c>
      <c r="B30" s="444"/>
      <c r="C30" s="445"/>
      <c r="D30" s="445"/>
      <c r="E30" s="445"/>
      <c r="F30" s="445"/>
      <c r="G30" s="445"/>
      <c r="H30" s="445"/>
      <c r="I30" s="445"/>
      <c r="J30" s="445"/>
      <c r="K30" s="445"/>
      <c r="L30" s="445"/>
    </row>
    <row r="31" s="9" customFormat="true" ht="15.75" hidden="false" customHeight="true" outlineLevel="0" collapsed="false">
      <c r="A31" s="9" t="s">
        <v>827</v>
      </c>
    </row>
    <row r="32" customFormat="false" ht="15.75" hidden="false" customHeight="true" outlineLevel="0" collapsed="false">
      <c r="B32" s="9"/>
      <c r="C32" s="9"/>
      <c r="D32" s="9"/>
      <c r="E32" s="9"/>
      <c r="F32" s="9"/>
      <c r="G32" s="9"/>
      <c r="H32" s="9"/>
      <c r="I32" s="9"/>
      <c r="J32" s="9"/>
      <c r="K32" s="9"/>
      <c r="L32" s="9"/>
    </row>
    <row r="33" customFormat="false" ht="15.75" hidden="false" customHeight="true" outlineLevel="0" collapsed="false">
      <c r="A33" s="281" t="s">
        <v>828</v>
      </c>
    </row>
    <row r="34" customFormat="false" ht="15.75" hidden="false" customHeight="true" outlineLevel="0" collapsed="false">
      <c r="A34" s="9" t="s">
        <v>829</v>
      </c>
    </row>
    <row r="35" customFormat="false" ht="15.75" hidden="false" customHeight="true" outlineLevel="0" collapsed="false">
      <c r="A35" s="9" t="s">
        <v>830</v>
      </c>
    </row>
    <row r="36" customFormat="false" ht="15.75" hidden="false" customHeight="true" outlineLevel="0" collapsed="false">
      <c r="A36" s="9" t="s">
        <v>831</v>
      </c>
    </row>
    <row r="37" customFormat="false" ht="15.75" hidden="false" customHeight="true" outlineLevel="0" collapsed="false">
      <c r="A37" s="9" t="s">
        <v>832</v>
      </c>
    </row>
  </sheetData>
  <mergeCells count="3">
    <mergeCell ref="A4:K4"/>
    <mergeCell ref="O17:X17"/>
    <mergeCell ref="A19:A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8"/>
  <sheetViews>
    <sheetView showFormulas="false" showGridLines="true" showRowColHeaders="true" showZeros="true" rightToLeft="false" tabSelected="false" showOutlineSymbols="true" defaultGridColor="true" view="normal" topLeftCell="A178" colorId="64" zoomScale="120" zoomScaleNormal="120" zoomScalePageLayoutView="100" workbookViewId="0">
      <selection pane="topLeft" activeCell="B184" activeCellId="0" sqref="B184"/>
    </sheetView>
  </sheetViews>
  <sheetFormatPr defaultColWidth="10.73046875" defaultRowHeight="12.75" customHeight="false" zeroHeight="false" outlineLevelRow="0" outlineLevelCol="0"/>
  <cols>
    <col collapsed="false" customWidth="true" hidden="false" outlineLevel="0" max="1" min="1" style="98" width="27.5"/>
    <col collapsed="false" customWidth="true" hidden="false" outlineLevel="0" max="2" min="2" style="98" width="15"/>
    <col collapsed="false" customWidth="true" hidden="false" outlineLevel="0" max="3" min="3" style="98" width="18.52"/>
    <col collapsed="false" customWidth="true" hidden="false" outlineLevel="0" max="4" min="4" style="348" width="21"/>
    <col collapsed="false" customWidth="true" hidden="false" outlineLevel="0" max="5" min="5" style="98" width="20"/>
    <col collapsed="false" customWidth="true" hidden="false" outlineLevel="0" max="6" min="6" style="98" width="17.66"/>
  </cols>
  <sheetData>
    <row r="1" customFormat="false" ht="12.75" hidden="false" customHeight="true" outlineLevel="0" collapsed="false">
      <c r="A1" s="98" t="s">
        <v>833</v>
      </c>
      <c r="B1" s="388" t="n">
        <v>0.0423</v>
      </c>
      <c r="C1" s="98" t="s">
        <v>834</v>
      </c>
    </row>
    <row r="2" s="446" customFormat="true" ht="13.5" hidden="false" customHeight="true" outlineLevel="0" collapsed="false">
      <c r="A2" s="446" t="s">
        <v>835</v>
      </c>
      <c r="D2" s="447"/>
    </row>
    <row r="4" customFormat="false" ht="15.75" hidden="false" customHeight="true" outlineLevel="0" collapsed="false">
      <c r="A4" s="448" t="s">
        <v>731</v>
      </c>
      <c r="B4" s="449" t="s">
        <v>836</v>
      </c>
      <c r="C4" s="450" t="s">
        <v>837</v>
      </c>
      <c r="D4" s="451" t="s">
        <v>838</v>
      </c>
      <c r="E4" s="451" t="s">
        <v>839</v>
      </c>
      <c r="F4" s="451" t="s">
        <v>840</v>
      </c>
    </row>
    <row r="5" customFormat="false" ht="15.75" hidden="false" customHeight="true" outlineLevel="0" collapsed="false">
      <c r="A5" s="452" t="s">
        <v>841</v>
      </c>
      <c r="B5" s="453" t="s">
        <v>842</v>
      </c>
      <c r="C5" s="140" t="n">
        <v>0.0042</v>
      </c>
      <c r="D5" s="140" t="n">
        <f aca="false">$B$1+E5</f>
        <v>0.0487</v>
      </c>
      <c r="E5" s="454" t="n">
        <v>0.0064</v>
      </c>
      <c r="F5" s="454" t="n">
        <v>0.09</v>
      </c>
    </row>
    <row r="6" customFormat="false" ht="15.75" hidden="false" customHeight="true" outlineLevel="0" collapsed="false">
      <c r="A6" s="452" t="s">
        <v>843</v>
      </c>
      <c r="B6" s="453" t="s">
        <v>844</v>
      </c>
      <c r="C6" s="140" t="n">
        <v>0.0306</v>
      </c>
      <c r="D6" s="140" t="n">
        <f aca="false">$B$1+E6</f>
        <v>0.0889</v>
      </c>
      <c r="E6" s="454" t="n">
        <v>0.0466</v>
      </c>
      <c r="F6" s="454" t="n">
        <v>0.15</v>
      </c>
    </row>
    <row r="7" customFormat="false" ht="15.75" hidden="false" customHeight="true" outlineLevel="0" collapsed="false">
      <c r="A7" s="455" t="s">
        <v>845</v>
      </c>
      <c r="B7" s="453" t="s">
        <v>846</v>
      </c>
      <c r="C7" s="140" t="n">
        <v>0.0383</v>
      </c>
      <c r="D7" s="140" t="n">
        <f aca="false">$B$1+E7</f>
        <v>0.1006</v>
      </c>
      <c r="E7" s="454" t="n">
        <v>0.0583</v>
      </c>
      <c r="F7" s="454" t="n">
        <v>0.1007</v>
      </c>
    </row>
    <row r="8" customFormat="false" ht="15.75" hidden="false" customHeight="true" outlineLevel="0" collapsed="false">
      <c r="A8" s="452" t="s">
        <v>847</v>
      </c>
      <c r="B8" s="453" t="s">
        <v>848</v>
      </c>
      <c r="C8" s="140" t="n">
        <v>0.0136</v>
      </c>
      <c r="D8" s="140" t="n">
        <f aca="false">$B$1+E8</f>
        <v>0.063</v>
      </c>
      <c r="E8" s="454" t="n">
        <v>0.0207</v>
      </c>
      <c r="F8" s="454" t="n">
        <v>0.1</v>
      </c>
    </row>
    <row r="9" customFormat="false" ht="15.75" hidden="false" customHeight="true" outlineLevel="0" collapsed="false">
      <c r="A9" s="452" t="s">
        <v>849</v>
      </c>
      <c r="B9" s="453" t="s">
        <v>27</v>
      </c>
      <c r="C9" s="140" t="n">
        <v>0.0552</v>
      </c>
      <c r="D9" s="140" t="n">
        <f aca="false">$B$1+E9</f>
        <v>0.1264</v>
      </c>
      <c r="E9" s="454" t="n">
        <v>0.0841</v>
      </c>
      <c r="F9" s="454" t="n">
        <v>0.25</v>
      </c>
    </row>
    <row r="10" customFormat="false" ht="15.75" hidden="false" customHeight="true" outlineLevel="0" collapsed="false">
      <c r="A10" s="452" t="s">
        <v>850</v>
      </c>
      <c r="B10" s="453" t="s">
        <v>846</v>
      </c>
      <c r="C10" s="140" t="n">
        <v>0.0491518302618487</v>
      </c>
      <c r="D10" s="140" t="n">
        <f aca="false">$B$1+E10</f>
        <v>0.117176823349771</v>
      </c>
      <c r="E10" s="454" t="n">
        <v>0.074876823349771</v>
      </c>
      <c r="F10" s="454" t="n">
        <v>0.265265475433749</v>
      </c>
    </row>
    <row r="11" customFormat="false" ht="15.75" hidden="false" customHeight="true" outlineLevel="0" collapsed="false">
      <c r="A11" s="452" t="s">
        <v>851</v>
      </c>
      <c r="B11" s="453" t="s">
        <v>846</v>
      </c>
      <c r="C11" s="140" t="n">
        <v>0.0277859418667808</v>
      </c>
      <c r="D11" s="140" t="n">
        <f aca="false">$B$1+E11</f>
        <v>0.0846284962061898</v>
      </c>
      <c r="E11" s="454" t="n">
        <v>0.0423284962061898</v>
      </c>
      <c r="F11" s="454" t="n">
        <v>0.31546691365657</v>
      </c>
    </row>
    <row r="12" customFormat="false" ht="15.75" hidden="false" customHeight="true" outlineLevel="0" collapsed="false">
      <c r="A12" s="452" t="s">
        <v>852</v>
      </c>
      <c r="B12" s="453" t="s">
        <v>853</v>
      </c>
      <c r="C12" s="140" t="n">
        <v>0.0637</v>
      </c>
      <c r="D12" s="140" t="n">
        <f aca="false">$B$1+E12</f>
        <v>0.1394</v>
      </c>
      <c r="E12" s="454" t="n">
        <v>0.0971</v>
      </c>
      <c r="F12" s="454" t="n">
        <v>0.35</v>
      </c>
    </row>
    <row r="13" customFormat="false" ht="15.75" hidden="false" customHeight="true" outlineLevel="0" collapsed="false">
      <c r="A13" s="452" t="s">
        <v>854</v>
      </c>
      <c r="B13" s="453" t="s">
        <v>844</v>
      </c>
      <c r="C13" s="140" t="n">
        <v>0.0306</v>
      </c>
      <c r="D13" s="140" t="n">
        <f aca="false">$B$1+E13</f>
        <v>0.0889</v>
      </c>
      <c r="E13" s="454" t="n">
        <v>0.0466</v>
      </c>
      <c r="F13" s="454" t="n">
        <v>0.18</v>
      </c>
    </row>
    <row r="14" customFormat="false" ht="15.75" hidden="false" customHeight="true" outlineLevel="0" collapsed="false">
      <c r="A14" s="452" t="s">
        <v>855</v>
      </c>
      <c r="B14" s="453" t="s">
        <v>856</v>
      </c>
      <c r="C14" s="140" t="n">
        <v>0.0187</v>
      </c>
      <c r="D14" s="140" t="n">
        <f aca="false">$B$1+E14</f>
        <v>0.0708</v>
      </c>
      <c r="E14" s="454" t="n">
        <v>0.0285</v>
      </c>
      <c r="F14" s="454" t="n">
        <v>0.22</v>
      </c>
    </row>
    <row r="15" customFormat="false" ht="15.75" hidden="false" customHeight="true" outlineLevel="0" collapsed="false">
      <c r="A15" s="452" t="s">
        <v>857</v>
      </c>
      <c r="B15" s="453" t="s">
        <v>858</v>
      </c>
      <c r="C15" s="140" t="n">
        <v>0</v>
      </c>
      <c r="D15" s="140" t="n">
        <f aca="false">$B$1+E15</f>
        <v>0.0423</v>
      </c>
      <c r="E15" s="454" t="n">
        <v>0</v>
      </c>
      <c r="F15" s="454" t="n">
        <v>0.3</v>
      </c>
    </row>
    <row r="16" customFormat="false" ht="15.75" hidden="false" customHeight="true" outlineLevel="0" collapsed="false">
      <c r="A16" s="452" t="s">
        <v>859</v>
      </c>
      <c r="B16" s="453" t="s">
        <v>860</v>
      </c>
      <c r="C16" s="140" t="n">
        <v>0.0023</v>
      </c>
      <c r="D16" s="140" t="n">
        <f aca="false">$B$1+E16</f>
        <v>0.0459</v>
      </c>
      <c r="E16" s="454" t="n">
        <v>0.0036</v>
      </c>
      <c r="F16" s="454" t="n">
        <v>0.23</v>
      </c>
    </row>
    <row r="17" customFormat="false" ht="15.75" hidden="false" customHeight="true" outlineLevel="0" collapsed="false">
      <c r="A17" s="452" t="s">
        <v>861</v>
      </c>
      <c r="B17" s="453" t="s">
        <v>856</v>
      </c>
      <c r="C17" s="140" t="n">
        <v>0.0187</v>
      </c>
      <c r="D17" s="140" t="n">
        <f aca="false">$B$1+E17</f>
        <v>0.0708</v>
      </c>
      <c r="E17" s="454" t="n">
        <v>0.0285</v>
      </c>
      <c r="F17" s="454" t="n">
        <v>0.2</v>
      </c>
    </row>
    <row r="18" customFormat="false" ht="15.75" hidden="false" customHeight="true" outlineLevel="0" collapsed="false">
      <c r="A18" s="452" t="s">
        <v>862</v>
      </c>
      <c r="B18" s="453" t="s">
        <v>863</v>
      </c>
      <c r="C18" s="140" t="n">
        <v>0.0383</v>
      </c>
      <c r="D18" s="140" t="n">
        <f aca="false">$B$1+E18</f>
        <v>0.1006</v>
      </c>
      <c r="E18" s="454" t="n">
        <v>0.0583</v>
      </c>
      <c r="F18" s="454" t="n">
        <v>0</v>
      </c>
    </row>
    <row r="19" customFormat="false" ht="15.75" hidden="false" customHeight="true" outlineLevel="0" collapsed="false">
      <c r="A19" s="452" t="s">
        <v>864</v>
      </c>
      <c r="B19" s="453" t="s">
        <v>865</v>
      </c>
      <c r="C19" s="140" t="n">
        <v>0.0467</v>
      </c>
      <c r="D19" s="140" t="n">
        <f aca="false">$B$1+E19</f>
        <v>0.1135</v>
      </c>
      <c r="E19" s="454" t="n">
        <v>0.0712</v>
      </c>
      <c r="F19" s="454" t="n">
        <v>0</v>
      </c>
    </row>
    <row r="20" customFormat="false" ht="15.75" hidden="false" customHeight="true" outlineLevel="0" collapsed="false">
      <c r="A20" s="452" t="s">
        <v>866</v>
      </c>
      <c r="B20" s="453" t="s">
        <v>865</v>
      </c>
      <c r="C20" s="140" t="n">
        <v>0.0467</v>
      </c>
      <c r="D20" s="140" t="n">
        <f aca="false">$B$1+E20</f>
        <v>0.1135</v>
      </c>
      <c r="E20" s="454" t="n">
        <v>0.0712</v>
      </c>
      <c r="F20" s="454" t="n">
        <v>0.275</v>
      </c>
    </row>
    <row r="21" customFormat="false" ht="15.75" hidden="false" customHeight="true" outlineLevel="0" collapsed="false">
      <c r="A21" s="452" t="s">
        <v>867</v>
      </c>
      <c r="B21" s="453" t="s">
        <v>865</v>
      </c>
      <c r="C21" s="140" t="n">
        <v>0.0467</v>
      </c>
      <c r="D21" s="140" t="n">
        <f aca="false">$B$1+E21</f>
        <v>0.1135</v>
      </c>
      <c r="E21" s="454" t="n">
        <v>0.0712</v>
      </c>
      <c r="F21" s="454" t="n">
        <v>0.09</v>
      </c>
    </row>
    <row r="22" customFormat="false" ht="15.75" hidden="false" customHeight="true" outlineLevel="0" collapsed="false">
      <c r="A22" s="452" t="s">
        <v>868</v>
      </c>
      <c r="B22" s="453" t="s">
        <v>869</v>
      </c>
      <c r="C22" s="140" t="n">
        <v>0.175</v>
      </c>
      <c r="D22" s="140" t="n">
        <f aca="false">$B$1+E22</f>
        <v>0.3089</v>
      </c>
      <c r="E22" s="454" t="n">
        <v>0.2666</v>
      </c>
      <c r="F22" s="454" t="n">
        <v>0.25</v>
      </c>
    </row>
    <row r="23" customFormat="false" ht="15.75" hidden="false" customHeight="true" outlineLevel="0" collapsed="false">
      <c r="A23" s="452" t="s">
        <v>870</v>
      </c>
      <c r="B23" s="453" t="s">
        <v>871</v>
      </c>
      <c r="C23" s="140" t="n">
        <v>0.0051</v>
      </c>
      <c r="D23" s="140" t="n">
        <f aca="false">$B$1+E23</f>
        <v>0.0501</v>
      </c>
      <c r="E23" s="454" t="n">
        <v>0.0078</v>
      </c>
      <c r="F23" s="454" t="n">
        <v>0.25</v>
      </c>
    </row>
    <row r="24" customFormat="false" ht="15.75" hidden="false" customHeight="true" outlineLevel="0" collapsed="false">
      <c r="A24" s="452" t="s">
        <v>872</v>
      </c>
      <c r="B24" s="453" t="s">
        <v>853</v>
      </c>
      <c r="C24" s="140" t="n">
        <v>0.0637</v>
      </c>
      <c r="D24" s="140" t="n">
        <f aca="false">$B$1+E24</f>
        <v>0.1394</v>
      </c>
      <c r="E24" s="454" t="n">
        <v>0.0971</v>
      </c>
      <c r="F24" s="454" t="n">
        <v>0</v>
      </c>
    </row>
    <row r="25" customFormat="false" ht="15.75" hidden="false" customHeight="true" outlineLevel="0" collapsed="false">
      <c r="A25" s="452" t="s">
        <v>873</v>
      </c>
      <c r="B25" s="453" t="s">
        <v>863</v>
      </c>
      <c r="C25" s="140" t="n">
        <v>0.0383</v>
      </c>
      <c r="D25" s="140" t="n">
        <f aca="false">$B$1+E25</f>
        <v>0.1006</v>
      </c>
      <c r="E25" s="454" t="n">
        <v>0.0583</v>
      </c>
      <c r="F25" s="454" t="n">
        <v>0.3</v>
      </c>
    </row>
    <row r="26" customFormat="false" ht="15.75" hidden="false" customHeight="true" outlineLevel="0" collapsed="false">
      <c r="A26" s="452" t="s">
        <v>874</v>
      </c>
      <c r="B26" s="453" t="s">
        <v>212</v>
      </c>
      <c r="C26" s="140" t="n">
        <v>0.0072</v>
      </c>
      <c r="D26" s="140" t="n">
        <f aca="false">$B$1+E26</f>
        <v>0.0533</v>
      </c>
      <c r="E26" s="454" t="n">
        <v>0.011</v>
      </c>
      <c r="F26" s="454" t="n">
        <v>0</v>
      </c>
    </row>
    <row r="27" customFormat="false" ht="15.75" hidden="false" customHeight="true" outlineLevel="0" collapsed="false">
      <c r="A27" s="452" t="s">
        <v>875</v>
      </c>
      <c r="B27" s="453" t="s">
        <v>876</v>
      </c>
      <c r="C27" s="140" t="n">
        <v>0.102</v>
      </c>
      <c r="D27" s="140" t="n">
        <f aca="false">$B$1+E27</f>
        <v>0.1977</v>
      </c>
      <c r="E27" s="454" t="n">
        <v>0.1554</v>
      </c>
      <c r="F27" s="454" t="n">
        <v>0.25</v>
      </c>
    </row>
    <row r="28" customFormat="false" ht="15.75" hidden="false" customHeight="true" outlineLevel="0" collapsed="false">
      <c r="A28" s="452" t="s">
        <v>877</v>
      </c>
      <c r="B28" s="453" t="s">
        <v>27</v>
      </c>
      <c r="C28" s="140" t="n">
        <v>0.0552</v>
      </c>
      <c r="D28" s="140" t="n">
        <f aca="false">$B$1+E28</f>
        <v>0.1264</v>
      </c>
      <c r="E28" s="454" t="n">
        <v>0.0841</v>
      </c>
      <c r="F28" s="454" t="n">
        <v>0.1</v>
      </c>
    </row>
    <row r="29" customFormat="false" ht="15.75" hidden="false" customHeight="true" outlineLevel="0" collapsed="false">
      <c r="A29" s="452" t="s">
        <v>878</v>
      </c>
      <c r="B29" s="453" t="s">
        <v>848</v>
      </c>
      <c r="C29" s="140" t="n">
        <v>0.0136</v>
      </c>
      <c r="D29" s="140" t="n">
        <f aca="false">$B$1+E29</f>
        <v>0.063</v>
      </c>
      <c r="E29" s="454" t="n">
        <v>0.0207</v>
      </c>
      <c r="F29" s="454" t="n">
        <v>0.22</v>
      </c>
    </row>
    <row r="30" customFormat="false" ht="15.75" hidden="false" customHeight="true" outlineLevel="0" collapsed="false">
      <c r="A30" s="452" t="s">
        <v>879</v>
      </c>
      <c r="B30" s="453" t="s">
        <v>880</v>
      </c>
      <c r="C30" s="140" t="n">
        <v>0.0213</v>
      </c>
      <c r="D30" s="140" t="n">
        <f aca="false">$B$1+E30</f>
        <v>0.0747</v>
      </c>
      <c r="E30" s="454" t="n">
        <v>0.0324</v>
      </c>
      <c r="F30" s="454" t="n">
        <v>0.34</v>
      </c>
    </row>
    <row r="31" customFormat="false" ht="15.75" hidden="false" customHeight="true" outlineLevel="0" collapsed="false">
      <c r="A31" s="452" t="s">
        <v>881</v>
      </c>
      <c r="B31" s="453" t="s">
        <v>846</v>
      </c>
      <c r="C31" s="140" t="n">
        <v>0.0491518302618487</v>
      </c>
      <c r="D31" s="140" t="n">
        <f aca="false">$B$1+E31</f>
        <v>0.117176823349771</v>
      </c>
      <c r="E31" s="454" t="n">
        <v>0.074876823349771</v>
      </c>
      <c r="F31" s="454" t="n">
        <v>0.265265475433749</v>
      </c>
    </row>
    <row r="32" customFormat="false" ht="15.75" hidden="false" customHeight="true" outlineLevel="0" collapsed="false">
      <c r="A32" s="455" t="s">
        <v>882</v>
      </c>
      <c r="B32" s="453" t="s">
        <v>846</v>
      </c>
      <c r="C32" s="140" t="n">
        <v>0.0051</v>
      </c>
      <c r="D32" s="140" t="n">
        <f aca="false">$B$1+E32</f>
        <v>0.0501</v>
      </c>
      <c r="E32" s="454" t="n">
        <v>0.0078</v>
      </c>
      <c r="F32" s="454" t="n">
        <v>0.0502</v>
      </c>
    </row>
    <row r="33" customFormat="false" ht="15.75" hidden="false" customHeight="true" outlineLevel="0" collapsed="false">
      <c r="A33" s="452" t="s">
        <v>883</v>
      </c>
      <c r="B33" s="453" t="s">
        <v>848</v>
      </c>
      <c r="C33" s="140" t="n">
        <v>0.0136</v>
      </c>
      <c r="D33" s="140" t="n">
        <f aca="false">$B$1+E33</f>
        <v>0.063</v>
      </c>
      <c r="E33" s="454" t="n">
        <v>0.0207</v>
      </c>
      <c r="F33" s="454" t="n">
        <v>0.1</v>
      </c>
    </row>
    <row r="34" customFormat="false" ht="15.75" hidden="false" customHeight="true" outlineLevel="0" collapsed="false">
      <c r="A34" s="452" t="s">
        <v>884</v>
      </c>
      <c r="B34" s="453" t="s">
        <v>853</v>
      </c>
      <c r="C34" s="140" t="n">
        <v>0.0637</v>
      </c>
      <c r="D34" s="140" t="n">
        <f aca="false">$B$1+E34</f>
        <v>0.1394</v>
      </c>
      <c r="E34" s="454" t="n">
        <v>0.0971</v>
      </c>
      <c r="F34" s="454" t="n">
        <v>0.275</v>
      </c>
    </row>
    <row r="35" customFormat="false" ht="15.75" hidden="false" customHeight="true" outlineLevel="0" collapsed="false">
      <c r="A35" s="452" t="s">
        <v>885</v>
      </c>
      <c r="B35" s="453" t="s">
        <v>865</v>
      </c>
      <c r="C35" s="140" t="n">
        <v>0.0467</v>
      </c>
      <c r="D35" s="140" t="n">
        <f aca="false">$B$1+E35</f>
        <v>0.1135</v>
      </c>
      <c r="E35" s="454" t="n">
        <v>0.0712</v>
      </c>
      <c r="F35" s="454" t="n">
        <v>0.2</v>
      </c>
    </row>
    <row r="36" customFormat="false" ht="15.75" hidden="false" customHeight="true" outlineLevel="0" collapsed="false">
      <c r="A36" s="452" t="s">
        <v>886</v>
      </c>
      <c r="B36" s="453" t="s">
        <v>853</v>
      </c>
      <c r="C36" s="140" t="n">
        <v>0.0637</v>
      </c>
      <c r="D36" s="140" t="n">
        <f aca="false">$B$1+E36</f>
        <v>0.1394</v>
      </c>
      <c r="E36" s="454" t="n">
        <v>0.0971</v>
      </c>
      <c r="F36" s="454" t="n">
        <v>0.33</v>
      </c>
    </row>
    <row r="37" customFormat="false" ht="15.75" hidden="false" customHeight="true" outlineLevel="0" collapsed="false">
      <c r="A37" s="452" t="s">
        <v>887</v>
      </c>
      <c r="B37" s="453" t="s">
        <v>858</v>
      </c>
      <c r="C37" s="140" t="n">
        <v>0</v>
      </c>
      <c r="D37" s="140" t="n">
        <f aca="false">$B$1+E37</f>
        <v>0.0423</v>
      </c>
      <c r="E37" s="454" t="n">
        <v>0</v>
      </c>
      <c r="F37" s="454" t="n">
        <v>0.2614</v>
      </c>
    </row>
    <row r="38" customFormat="false" ht="15.75" hidden="false" customHeight="true" outlineLevel="0" collapsed="false">
      <c r="A38" s="452" t="s">
        <v>888</v>
      </c>
      <c r="B38" s="453" t="s">
        <v>865</v>
      </c>
      <c r="C38" s="140" t="n">
        <v>0.0467</v>
      </c>
      <c r="D38" s="140" t="n">
        <f aca="false">$B$1+E38</f>
        <v>0.1135</v>
      </c>
      <c r="E38" s="454" t="n">
        <v>0.0712</v>
      </c>
      <c r="F38" s="454" t="n">
        <v>0.2686</v>
      </c>
    </row>
    <row r="39" customFormat="false" ht="15.75" hidden="false" customHeight="true" outlineLevel="0" collapsed="false">
      <c r="A39" s="452" t="s">
        <v>889</v>
      </c>
      <c r="B39" s="453" t="s">
        <v>846</v>
      </c>
      <c r="C39" s="140" t="n">
        <v>0.0051</v>
      </c>
      <c r="D39" s="140" t="n">
        <f aca="false">$B$1+E39</f>
        <v>0.0501</v>
      </c>
      <c r="E39" s="454" t="n">
        <v>0.0078</v>
      </c>
      <c r="F39" s="454" t="n">
        <v>0</v>
      </c>
    </row>
    <row r="40" customFormat="false" ht="15.75" hidden="false" customHeight="true" outlineLevel="0" collapsed="false">
      <c r="A40" s="452" t="s">
        <v>890</v>
      </c>
      <c r="B40" s="453" t="s">
        <v>846</v>
      </c>
      <c r="C40" s="140" t="n">
        <v>0.00680426445919</v>
      </c>
      <c r="D40" s="140" t="n">
        <f aca="false">$B$1+E40</f>
        <v>0.0526654676788577</v>
      </c>
      <c r="E40" s="454" t="n">
        <v>0.0103654676788577</v>
      </c>
      <c r="F40" s="454" t="n">
        <v>0.255572311565839</v>
      </c>
    </row>
    <row r="41" customFormat="false" ht="15.75" hidden="false" customHeight="true" outlineLevel="0" collapsed="false">
      <c r="A41" s="452" t="s">
        <v>891</v>
      </c>
      <c r="B41" s="453" t="s">
        <v>212</v>
      </c>
      <c r="C41" s="140" t="n">
        <v>0.0072</v>
      </c>
      <c r="D41" s="140" t="n">
        <f aca="false">$B$1+E41</f>
        <v>0.0533</v>
      </c>
      <c r="E41" s="454" t="n">
        <v>0.011</v>
      </c>
      <c r="F41" s="454" t="n">
        <v>0.27</v>
      </c>
    </row>
    <row r="42" customFormat="false" ht="15.75" hidden="false" customHeight="true" outlineLevel="0" collapsed="false">
      <c r="A42" s="452" t="s">
        <v>736</v>
      </c>
      <c r="B42" s="453" t="s">
        <v>892</v>
      </c>
      <c r="C42" s="140" t="n">
        <v>0.006</v>
      </c>
      <c r="D42" s="140" t="n">
        <f aca="false">$B$1+E42</f>
        <v>0.0514</v>
      </c>
      <c r="E42" s="454" t="n">
        <v>0.0091</v>
      </c>
      <c r="F42" s="454" t="n">
        <v>0.25</v>
      </c>
    </row>
    <row r="43" customFormat="false" ht="15.75" hidden="false" customHeight="true" outlineLevel="0" collapsed="false">
      <c r="A43" s="452" t="s">
        <v>893</v>
      </c>
      <c r="B43" s="453" t="s">
        <v>856</v>
      </c>
      <c r="C43" s="140" t="n">
        <v>0.0187</v>
      </c>
      <c r="D43" s="140" t="n">
        <f aca="false">$B$1+E43</f>
        <v>0.0708</v>
      </c>
      <c r="E43" s="454" t="n">
        <v>0.0285</v>
      </c>
      <c r="F43" s="454" t="n">
        <v>0.35</v>
      </c>
    </row>
    <row r="44" customFormat="false" ht="15.75" hidden="false" customHeight="true" outlineLevel="0" collapsed="false">
      <c r="A44" s="452" t="s">
        <v>894</v>
      </c>
      <c r="B44" s="453" t="s">
        <v>27</v>
      </c>
      <c r="C44" s="140" t="n">
        <v>0.0552</v>
      </c>
      <c r="D44" s="140" t="n">
        <f aca="false">$B$1+E44</f>
        <v>0.1264</v>
      </c>
      <c r="E44" s="454" t="n">
        <v>0.0841</v>
      </c>
      <c r="F44" s="454" t="n">
        <v>0.3</v>
      </c>
    </row>
    <row r="45" customFormat="false" ht="15.75" hidden="false" customHeight="true" outlineLevel="0" collapsed="false">
      <c r="A45" s="452" t="s">
        <v>895</v>
      </c>
      <c r="B45" s="453" t="s">
        <v>896</v>
      </c>
      <c r="C45" s="140" t="n">
        <v>0.0765</v>
      </c>
      <c r="D45" s="140" t="n">
        <f aca="false">$B$1+E45</f>
        <v>0.1589</v>
      </c>
      <c r="E45" s="454" t="n">
        <v>0.1166</v>
      </c>
      <c r="F45" s="454" t="n">
        <v>0.2686</v>
      </c>
    </row>
    <row r="46" customFormat="false" ht="15.75" hidden="false" customHeight="true" outlineLevel="0" collapsed="false">
      <c r="A46" s="452" t="s">
        <v>897</v>
      </c>
      <c r="B46" s="453" t="s">
        <v>863</v>
      </c>
      <c r="C46" s="140" t="n">
        <v>0.0383</v>
      </c>
      <c r="D46" s="140" t="n">
        <f aca="false">$B$1+E46</f>
        <v>0.1006</v>
      </c>
      <c r="E46" s="454" t="n">
        <v>0.0583</v>
      </c>
      <c r="F46" s="454" t="n">
        <v>0.2</v>
      </c>
    </row>
    <row r="47" customFormat="false" ht="15.75" hidden="false" customHeight="true" outlineLevel="0" collapsed="false">
      <c r="A47" s="452" t="s">
        <v>898</v>
      </c>
      <c r="B47" s="453" t="s">
        <v>899</v>
      </c>
      <c r="C47" s="140" t="n">
        <v>0.0256</v>
      </c>
      <c r="D47" s="140" t="n">
        <f aca="false">$B$1+E47</f>
        <v>0.0813</v>
      </c>
      <c r="E47" s="454" t="n">
        <v>0.039</v>
      </c>
      <c r="F47" s="454" t="n">
        <v>0.3</v>
      </c>
    </row>
    <row r="48" customFormat="false" ht="15.75" hidden="false" customHeight="true" outlineLevel="0" collapsed="false">
      <c r="A48" s="452" t="s">
        <v>900</v>
      </c>
      <c r="B48" s="453" t="s">
        <v>215</v>
      </c>
      <c r="C48" s="140" t="n">
        <v>0.0102</v>
      </c>
      <c r="D48" s="140" t="n">
        <f aca="false">$B$1+E48</f>
        <v>0.0578</v>
      </c>
      <c r="E48" s="454" t="n">
        <v>0.0155</v>
      </c>
      <c r="F48" s="454" t="n">
        <v>0.18</v>
      </c>
    </row>
    <row r="49" customFormat="false" ht="15.75" hidden="false" customHeight="true" outlineLevel="0" collapsed="false">
      <c r="A49" s="452" t="s">
        <v>901</v>
      </c>
      <c r="B49" s="453" t="s">
        <v>876</v>
      </c>
      <c r="C49" s="140" t="n">
        <v>0.102</v>
      </c>
      <c r="D49" s="140" t="n">
        <f aca="false">$B$1+E49</f>
        <v>0.1977</v>
      </c>
      <c r="E49" s="454" t="n">
        <v>0.1554</v>
      </c>
      <c r="F49" s="454" t="n">
        <v>0.35</v>
      </c>
    </row>
    <row r="50" customFormat="false" ht="15.75" hidden="false" customHeight="true" outlineLevel="0" collapsed="false">
      <c r="A50" s="456" t="s">
        <v>902</v>
      </c>
      <c r="B50" s="453" t="s">
        <v>846</v>
      </c>
      <c r="C50" s="140" t="n">
        <v>0.0277859418667808</v>
      </c>
      <c r="D50" s="140" t="n">
        <f aca="false">$B$1+E50</f>
        <v>0.0846284962061898</v>
      </c>
      <c r="E50" s="454" t="n">
        <v>0.0423284962061898</v>
      </c>
      <c r="F50" s="454" t="n">
        <v>0.31546691365657</v>
      </c>
    </row>
    <row r="51" customFormat="false" ht="15.75" hidden="false" customHeight="true" outlineLevel="0" collapsed="false">
      <c r="A51" s="452" t="s">
        <v>903</v>
      </c>
      <c r="B51" s="453" t="s">
        <v>215</v>
      </c>
      <c r="C51" s="140" t="n">
        <v>0.0102</v>
      </c>
      <c r="D51" s="140" t="n">
        <f aca="false">$B$1+E51</f>
        <v>0.0578</v>
      </c>
      <c r="E51" s="454" t="n">
        <v>0.0155</v>
      </c>
      <c r="F51" s="454" t="n">
        <v>0.125</v>
      </c>
    </row>
    <row r="52" customFormat="false" ht="15.75" hidden="false" customHeight="true" outlineLevel="0" collapsed="false">
      <c r="A52" s="452" t="s">
        <v>904</v>
      </c>
      <c r="B52" s="453" t="s">
        <v>871</v>
      </c>
      <c r="C52" s="140" t="n">
        <v>0.0051</v>
      </c>
      <c r="D52" s="140" t="n">
        <f aca="false">$B$1+E52</f>
        <v>0.0501</v>
      </c>
      <c r="E52" s="454" t="n">
        <v>0.0078</v>
      </c>
      <c r="F52" s="454" t="n">
        <v>0.21</v>
      </c>
    </row>
    <row r="53" customFormat="false" ht="15.75" hidden="false" customHeight="true" outlineLevel="0" collapsed="false">
      <c r="A53" s="452" t="s">
        <v>905</v>
      </c>
      <c r="B53" s="453" t="s">
        <v>858</v>
      </c>
      <c r="C53" s="140" t="n">
        <v>0</v>
      </c>
      <c r="D53" s="140" t="n">
        <f aca="false">$B$1+E53</f>
        <v>0.0423</v>
      </c>
      <c r="E53" s="454" t="n">
        <v>0</v>
      </c>
      <c r="F53" s="454" t="n">
        <v>0.22</v>
      </c>
    </row>
    <row r="54" customFormat="false" ht="15.75" hidden="false" customHeight="true" outlineLevel="0" collapsed="false">
      <c r="A54" s="452" t="s">
        <v>906</v>
      </c>
      <c r="B54" s="453" t="s">
        <v>899</v>
      </c>
      <c r="C54" s="140" t="n">
        <v>0.0256</v>
      </c>
      <c r="D54" s="140" t="n">
        <f aca="false">$B$1+E54</f>
        <v>0.0813</v>
      </c>
      <c r="E54" s="454" t="n">
        <v>0.039</v>
      </c>
      <c r="F54" s="454" t="n">
        <v>0.27</v>
      </c>
    </row>
    <row r="55" customFormat="false" ht="15.75" hidden="false" customHeight="true" outlineLevel="0" collapsed="false">
      <c r="A55" s="452" t="s">
        <v>907</v>
      </c>
      <c r="B55" s="453" t="s">
        <v>908</v>
      </c>
      <c r="C55" s="140" t="n">
        <v>0.085</v>
      </c>
      <c r="D55" s="140" t="n">
        <f aca="false">$B$1+E55</f>
        <v>0.1718</v>
      </c>
      <c r="E55" s="454" t="n">
        <v>0.1295</v>
      </c>
      <c r="F55" s="454" t="n">
        <v>0.25</v>
      </c>
    </row>
    <row r="56" customFormat="false" ht="15.75" hidden="false" customHeight="true" outlineLevel="0" collapsed="false">
      <c r="A56" s="452" t="s">
        <v>909</v>
      </c>
      <c r="B56" s="453" t="s">
        <v>853</v>
      </c>
      <c r="C56" s="140" t="n">
        <v>0.0637</v>
      </c>
      <c r="D56" s="140" t="n">
        <f aca="false">$B$1+E56</f>
        <v>0.1394</v>
      </c>
      <c r="E56" s="454" t="n">
        <v>0.0971</v>
      </c>
      <c r="F56" s="454" t="n">
        <v>0.225</v>
      </c>
    </row>
    <row r="57" customFormat="false" ht="15.75" hidden="false" customHeight="true" outlineLevel="0" collapsed="false">
      <c r="A57" s="452" t="s">
        <v>910</v>
      </c>
      <c r="B57" s="453" t="s">
        <v>27</v>
      </c>
      <c r="C57" s="140" t="n">
        <v>0.0552</v>
      </c>
      <c r="D57" s="140" t="n">
        <f aca="false">$B$1+E57</f>
        <v>0.1264</v>
      </c>
      <c r="E57" s="454" t="n">
        <v>0.0841</v>
      </c>
      <c r="F57" s="454" t="n">
        <v>0.3</v>
      </c>
    </row>
    <row r="58" customFormat="false" ht="15.75" hidden="false" customHeight="true" outlineLevel="0" collapsed="false">
      <c r="A58" s="452" t="s">
        <v>911</v>
      </c>
      <c r="B58" s="453" t="s">
        <v>892</v>
      </c>
      <c r="C58" s="140" t="n">
        <v>0.006</v>
      </c>
      <c r="D58" s="140" t="n">
        <f aca="false">$B$1+E58</f>
        <v>0.0514</v>
      </c>
      <c r="E58" s="454" t="n">
        <v>0.0091</v>
      </c>
      <c r="F58" s="454" t="n">
        <v>0.2</v>
      </c>
    </row>
    <row r="59" customFormat="false" ht="15.75" hidden="false" customHeight="true" outlineLevel="0" collapsed="false">
      <c r="A59" s="452" t="s">
        <v>912</v>
      </c>
      <c r="B59" s="453" t="s">
        <v>896</v>
      </c>
      <c r="C59" s="140" t="n">
        <v>0.0765</v>
      </c>
      <c r="D59" s="140" t="n">
        <f aca="false">$B$1+E59</f>
        <v>0.1589</v>
      </c>
      <c r="E59" s="454" t="n">
        <v>0.1166</v>
      </c>
      <c r="F59" s="454" t="n">
        <v>0.3</v>
      </c>
    </row>
    <row r="60" customFormat="false" ht="15.75" hidden="false" customHeight="true" outlineLevel="0" collapsed="false">
      <c r="A60" s="452" t="s">
        <v>913</v>
      </c>
      <c r="B60" s="453" t="s">
        <v>846</v>
      </c>
      <c r="C60" s="457" t="n">
        <v>0.0277859418667808</v>
      </c>
      <c r="D60" s="140" t="n">
        <f aca="false">$B$1+E60</f>
        <v>0.0846284962061898</v>
      </c>
      <c r="E60" s="454" t="n">
        <v>0.0423284962061898</v>
      </c>
      <c r="F60" s="454" t="n">
        <v>0.31546691365657</v>
      </c>
    </row>
    <row r="61" customFormat="false" ht="15.75" hidden="false" customHeight="true" outlineLevel="0" collapsed="false">
      <c r="A61" s="452" t="s">
        <v>914</v>
      </c>
      <c r="B61" s="453" t="s">
        <v>863</v>
      </c>
      <c r="C61" s="140" t="n">
        <v>0.0383</v>
      </c>
      <c r="D61" s="140" t="n">
        <f aca="false">$B$1+E61</f>
        <v>0.1006</v>
      </c>
      <c r="E61" s="454" t="n">
        <v>0.0583</v>
      </c>
      <c r="F61" s="454" t="n">
        <v>0.25</v>
      </c>
    </row>
    <row r="62" customFormat="false" ht="15.75" hidden="false" customHeight="true" outlineLevel="0" collapsed="false">
      <c r="A62" s="452" t="s">
        <v>915</v>
      </c>
      <c r="B62" s="453" t="s">
        <v>860</v>
      </c>
      <c r="C62" s="140" t="n">
        <v>0.0023</v>
      </c>
      <c r="D62" s="140" t="n">
        <f aca="false">$B$1+E62</f>
        <v>0.0459</v>
      </c>
      <c r="E62" s="454" t="n">
        <v>0.0036</v>
      </c>
      <c r="F62" s="454" t="n">
        <v>0.2</v>
      </c>
    </row>
    <row r="63" customFormat="false" ht="15.75" hidden="false" customHeight="true" outlineLevel="0" collapsed="false">
      <c r="A63" s="452" t="s">
        <v>916</v>
      </c>
      <c r="B63" s="453" t="s">
        <v>871</v>
      </c>
      <c r="C63" s="140" t="n">
        <v>0.0051</v>
      </c>
      <c r="D63" s="140" t="n">
        <f aca="false">$B$1+E63</f>
        <v>0.0501</v>
      </c>
      <c r="E63" s="454" t="n">
        <v>0.0078</v>
      </c>
      <c r="F63" s="454" t="n">
        <v>0.2583</v>
      </c>
    </row>
    <row r="64" customFormat="false" ht="15.75" hidden="false" customHeight="true" outlineLevel="0" collapsed="false">
      <c r="A64" s="452" t="s">
        <v>917</v>
      </c>
      <c r="B64" s="453" t="s">
        <v>846</v>
      </c>
      <c r="C64" s="457" t="n">
        <v>0.0277859418667808</v>
      </c>
      <c r="D64" s="140" t="n">
        <f aca="false">$B$1+E64</f>
        <v>0.0846284962061898</v>
      </c>
      <c r="E64" s="454" t="n">
        <v>0.0423284962061898</v>
      </c>
      <c r="F64" s="454" t="n">
        <v>0.31546691365657</v>
      </c>
    </row>
    <row r="65" customFormat="false" ht="15.75" hidden="false" customHeight="true" outlineLevel="0" collapsed="false">
      <c r="A65" s="452" t="s">
        <v>918</v>
      </c>
      <c r="B65" s="453" t="s">
        <v>896</v>
      </c>
      <c r="C65" s="140" t="n">
        <v>0.0765</v>
      </c>
      <c r="D65" s="140" t="n">
        <f aca="false">$B$1+E65</f>
        <v>0.1589</v>
      </c>
      <c r="E65" s="454" t="n">
        <v>0.1166</v>
      </c>
      <c r="F65" s="454" t="n">
        <v>0.3</v>
      </c>
    </row>
    <row r="66" customFormat="false" ht="15.75" hidden="false" customHeight="true" outlineLevel="0" collapsed="false">
      <c r="A66" s="455" t="s">
        <v>919</v>
      </c>
      <c r="B66" s="453" t="s">
        <v>846</v>
      </c>
      <c r="C66" s="140" t="n">
        <v>0.0467</v>
      </c>
      <c r="D66" s="140" t="n">
        <f aca="false">$B$1+E66</f>
        <v>0.1135</v>
      </c>
      <c r="E66" s="454" t="n">
        <v>0.0712</v>
      </c>
      <c r="F66" s="454" t="n">
        <v>0.1136</v>
      </c>
    </row>
    <row r="67" customFormat="false" ht="15.75" hidden="false" customHeight="true" outlineLevel="0" collapsed="false">
      <c r="A67" s="452" t="s">
        <v>920</v>
      </c>
      <c r="B67" s="453" t="s">
        <v>899</v>
      </c>
      <c r="C67" s="140" t="n">
        <v>0.0256</v>
      </c>
      <c r="D67" s="140" t="n">
        <f aca="false">$B$1+E67</f>
        <v>0.0813</v>
      </c>
      <c r="E67" s="454" t="n">
        <v>0.039</v>
      </c>
      <c r="F67" s="454" t="n">
        <v>0.15</v>
      </c>
    </row>
    <row r="68" customFormat="false" ht="15.75" hidden="false" customHeight="true" outlineLevel="0" collapsed="false">
      <c r="A68" s="452" t="s">
        <v>921</v>
      </c>
      <c r="B68" s="453" t="s">
        <v>858</v>
      </c>
      <c r="C68" s="140" t="n">
        <v>0</v>
      </c>
      <c r="D68" s="140" t="n">
        <f aca="false">$B$1+E68</f>
        <v>0.0423</v>
      </c>
      <c r="E68" s="454" t="n">
        <v>0</v>
      </c>
      <c r="F68" s="454" t="n">
        <v>0.2993</v>
      </c>
    </row>
    <row r="69" customFormat="false" ht="15.75" hidden="false" customHeight="true" outlineLevel="0" collapsed="false">
      <c r="A69" s="452" t="s">
        <v>922</v>
      </c>
      <c r="B69" s="453" t="s">
        <v>853</v>
      </c>
      <c r="C69" s="140" t="n">
        <v>0.0637</v>
      </c>
      <c r="D69" s="140" t="n">
        <f aca="false">$B$1+E69</f>
        <v>0.1394</v>
      </c>
      <c r="E69" s="454" t="n">
        <v>0.0971</v>
      </c>
      <c r="F69" s="454" t="n">
        <v>0.25</v>
      </c>
    </row>
    <row r="70" customFormat="false" ht="15.75" hidden="false" customHeight="true" outlineLevel="0" collapsed="false">
      <c r="A70" s="452" t="s">
        <v>923</v>
      </c>
      <c r="B70" s="453" t="s">
        <v>846</v>
      </c>
      <c r="C70" s="140" t="n">
        <v>0.00680426445919</v>
      </c>
      <c r="D70" s="140" t="n">
        <f aca="false">$B$1+E70</f>
        <v>0.0526654676788577</v>
      </c>
      <c r="E70" s="454" t="n">
        <v>0.0103654676788577</v>
      </c>
      <c r="F70" s="454" t="n">
        <v>0.255572311565839</v>
      </c>
    </row>
    <row r="71" customFormat="false" ht="15.75" hidden="false" customHeight="true" outlineLevel="0" collapsed="false">
      <c r="A71" s="452" t="s">
        <v>924</v>
      </c>
      <c r="B71" s="453" t="s">
        <v>856</v>
      </c>
      <c r="C71" s="140" t="n">
        <v>0.0187</v>
      </c>
      <c r="D71" s="140" t="n">
        <f aca="false">$B$1+E71</f>
        <v>0.0708</v>
      </c>
      <c r="E71" s="454" t="n">
        <v>0.0285</v>
      </c>
      <c r="F71" s="454" t="n">
        <v>0.22</v>
      </c>
    </row>
    <row r="72" customFormat="false" ht="15.75" hidden="false" customHeight="true" outlineLevel="0" collapsed="false">
      <c r="A72" s="452" t="s">
        <v>925</v>
      </c>
      <c r="B72" s="453" t="s">
        <v>858</v>
      </c>
      <c r="C72" s="140" t="n">
        <v>0</v>
      </c>
      <c r="D72" s="140" t="n">
        <f aca="false">$B$1+E72</f>
        <v>0.0423</v>
      </c>
      <c r="E72" s="454" t="n">
        <v>0</v>
      </c>
      <c r="F72" s="454" t="n">
        <v>0.22</v>
      </c>
    </row>
    <row r="73" customFormat="false" ht="15.75" hidden="false" customHeight="true" outlineLevel="0" collapsed="false">
      <c r="A73" s="452" t="s">
        <v>926</v>
      </c>
      <c r="B73" s="453" t="s">
        <v>880</v>
      </c>
      <c r="C73" s="140" t="n">
        <v>0.0213</v>
      </c>
      <c r="D73" s="140" t="n">
        <f aca="false">$B$1+E73</f>
        <v>0.0747</v>
      </c>
      <c r="E73" s="454" t="n">
        <v>0.0324</v>
      </c>
      <c r="F73" s="454" t="n">
        <v>0.25</v>
      </c>
    </row>
    <row r="74" customFormat="false" ht="15.75" hidden="false" customHeight="true" outlineLevel="0" collapsed="false">
      <c r="A74" s="452" t="s">
        <v>927</v>
      </c>
      <c r="B74" s="453" t="s">
        <v>892</v>
      </c>
      <c r="C74" s="140" t="n">
        <v>0.006</v>
      </c>
      <c r="D74" s="140" t="n">
        <f aca="false">$B$1+E74</f>
        <v>0.0514</v>
      </c>
      <c r="E74" s="454" t="n">
        <v>0.0091</v>
      </c>
      <c r="F74" s="454" t="n">
        <v>0</v>
      </c>
    </row>
    <row r="75" customFormat="false" ht="15.75" hidden="false" customHeight="true" outlineLevel="0" collapsed="false">
      <c r="A75" s="455" t="s">
        <v>928</v>
      </c>
      <c r="B75" s="453" t="s">
        <v>846</v>
      </c>
      <c r="C75" s="140" t="n">
        <v>0.0765</v>
      </c>
      <c r="D75" s="140" t="n">
        <f aca="false">$B$1+E75</f>
        <v>0.1589</v>
      </c>
      <c r="E75" s="454" t="n">
        <v>0.1166</v>
      </c>
      <c r="F75" s="454" t="n">
        <v>0.159</v>
      </c>
    </row>
    <row r="76" customFormat="false" ht="15.75" hidden="false" customHeight="true" outlineLevel="0" collapsed="false">
      <c r="A76" s="455" t="s">
        <v>929</v>
      </c>
      <c r="B76" s="453" t="s">
        <v>846</v>
      </c>
      <c r="C76" s="140" t="n">
        <v>0.0637</v>
      </c>
      <c r="D76" s="140" t="n">
        <f aca="false">$B$1+E76</f>
        <v>0.1394</v>
      </c>
      <c r="E76" s="454" t="n">
        <v>0.0971</v>
      </c>
      <c r="F76" s="454" t="n">
        <v>0.1395</v>
      </c>
    </row>
    <row r="77" customFormat="false" ht="15.75" hidden="false" customHeight="true" outlineLevel="0" collapsed="false">
      <c r="A77" s="455" t="s">
        <v>930</v>
      </c>
      <c r="B77" s="453" t="s">
        <v>846</v>
      </c>
      <c r="C77" s="140" t="n">
        <v>0.0136</v>
      </c>
      <c r="D77" s="140" t="n">
        <f aca="false">$B$1+E77</f>
        <v>0.063</v>
      </c>
      <c r="E77" s="454" t="n">
        <v>0.0207</v>
      </c>
      <c r="F77" s="454" t="n">
        <v>0.0631</v>
      </c>
    </row>
    <row r="78" customFormat="false" ht="15.75" hidden="false" customHeight="true" outlineLevel="0" collapsed="false">
      <c r="A78" s="455" t="s">
        <v>931</v>
      </c>
      <c r="B78" s="453" t="s">
        <v>846</v>
      </c>
      <c r="C78" s="140" t="n">
        <v>0.085</v>
      </c>
      <c r="D78" s="140" t="n">
        <f aca="false">$B$1+E78</f>
        <v>0.1718</v>
      </c>
      <c r="E78" s="454" t="n">
        <v>0.1295</v>
      </c>
      <c r="F78" s="454" t="n">
        <v>0.1719</v>
      </c>
    </row>
    <row r="79" customFormat="false" ht="15.75" hidden="false" customHeight="true" outlineLevel="0" collapsed="false">
      <c r="A79" s="452" t="s">
        <v>932</v>
      </c>
      <c r="B79" s="453" t="s">
        <v>863</v>
      </c>
      <c r="C79" s="140" t="n">
        <v>0.0383</v>
      </c>
      <c r="D79" s="140" t="n">
        <f aca="false">$B$1+E79</f>
        <v>0.1006</v>
      </c>
      <c r="E79" s="454" t="n">
        <v>0.0583</v>
      </c>
      <c r="F79" s="454" t="n">
        <v>0.3</v>
      </c>
    </row>
    <row r="80" customFormat="false" ht="15.75" hidden="false" customHeight="true" outlineLevel="0" collapsed="false">
      <c r="A80" s="452" t="s">
        <v>933</v>
      </c>
      <c r="B80" s="453" t="s">
        <v>871</v>
      </c>
      <c r="C80" s="140" t="n">
        <v>0.0051</v>
      </c>
      <c r="D80" s="140" t="n">
        <f aca="false">$B$1+E80</f>
        <v>0.0501</v>
      </c>
      <c r="E80" s="454" t="n">
        <v>0.0078</v>
      </c>
      <c r="F80" s="454" t="n">
        <v>0.165</v>
      </c>
    </row>
    <row r="81" customFormat="false" ht="15.75" hidden="false" customHeight="true" outlineLevel="0" collapsed="false">
      <c r="A81" s="452" t="s">
        <v>934</v>
      </c>
      <c r="B81" s="453" t="s">
        <v>935</v>
      </c>
      <c r="C81" s="140" t="n">
        <v>0.0162</v>
      </c>
      <c r="D81" s="140" t="n">
        <f aca="false">$B$1+E81</f>
        <v>0.0669</v>
      </c>
      <c r="E81" s="454" t="n">
        <v>0.0246</v>
      </c>
      <c r="F81" s="454" t="n">
        <v>0.09</v>
      </c>
    </row>
    <row r="82" customFormat="false" ht="15.75" hidden="false" customHeight="true" outlineLevel="0" collapsed="false">
      <c r="A82" s="452" t="s">
        <v>936</v>
      </c>
      <c r="B82" s="453" t="s">
        <v>892</v>
      </c>
      <c r="C82" s="140" t="n">
        <v>0.006</v>
      </c>
      <c r="D82" s="140" t="n">
        <f aca="false">$B$1+E82</f>
        <v>0.0514</v>
      </c>
      <c r="E82" s="454" t="n">
        <v>0.0091</v>
      </c>
      <c r="F82" s="454" t="n">
        <v>0.21</v>
      </c>
    </row>
    <row r="83" customFormat="false" ht="15.75" hidden="false" customHeight="true" outlineLevel="0" collapsed="false">
      <c r="A83" s="452" t="s">
        <v>937</v>
      </c>
      <c r="B83" s="453" t="s">
        <v>856</v>
      </c>
      <c r="C83" s="140" t="n">
        <v>0.0187</v>
      </c>
      <c r="D83" s="140" t="n">
        <f aca="false">$B$1+E83</f>
        <v>0.0708</v>
      </c>
      <c r="E83" s="454" t="n">
        <v>0.0285</v>
      </c>
      <c r="F83" s="454" t="n">
        <v>0.3</v>
      </c>
    </row>
    <row r="84" customFormat="false" ht="15.75" hidden="false" customHeight="true" outlineLevel="0" collapsed="false">
      <c r="A84" s="452" t="s">
        <v>938</v>
      </c>
      <c r="B84" s="453" t="s">
        <v>935</v>
      </c>
      <c r="C84" s="140" t="n">
        <v>0.0162</v>
      </c>
      <c r="D84" s="140" t="n">
        <f aca="false">$B$1+E84</f>
        <v>0.0669</v>
      </c>
      <c r="E84" s="454" t="n">
        <v>0.0246</v>
      </c>
      <c r="F84" s="454" t="n">
        <v>0.22</v>
      </c>
    </row>
    <row r="85" customFormat="false" ht="15.75" hidden="false" customHeight="true" outlineLevel="0" collapsed="false">
      <c r="A85" s="455" t="s">
        <v>939</v>
      </c>
      <c r="B85" s="453" t="s">
        <v>846</v>
      </c>
      <c r="C85" s="140" t="n">
        <v>0.0637</v>
      </c>
      <c r="D85" s="140" t="n">
        <f aca="false">$B$1+E85</f>
        <v>0.1394</v>
      </c>
      <c r="E85" s="454" t="n">
        <v>0.0971</v>
      </c>
      <c r="F85" s="454" t="n">
        <v>0.1395</v>
      </c>
    </row>
    <row r="86" customFormat="false" ht="15.75" hidden="false" customHeight="true" outlineLevel="0" collapsed="false">
      <c r="A86" s="452" t="s">
        <v>940</v>
      </c>
      <c r="B86" s="453" t="s">
        <v>853</v>
      </c>
      <c r="C86" s="140" t="n">
        <v>0.0637</v>
      </c>
      <c r="D86" s="140" t="n">
        <f aca="false">$B$1+E86</f>
        <v>0.1394</v>
      </c>
      <c r="E86" s="454" t="n">
        <v>0.0971</v>
      </c>
      <c r="F86" s="454" t="n">
        <v>0.15</v>
      </c>
    </row>
    <row r="87" customFormat="false" ht="15.75" hidden="false" customHeight="true" outlineLevel="0" collapsed="false">
      <c r="A87" s="452" t="s">
        <v>941</v>
      </c>
      <c r="B87" s="453" t="s">
        <v>871</v>
      </c>
      <c r="C87" s="140" t="n">
        <v>0.0051</v>
      </c>
      <c r="D87" s="140" t="n">
        <f aca="false">$B$1+E87</f>
        <v>0.0501</v>
      </c>
      <c r="E87" s="454" t="n">
        <v>0.0078</v>
      </c>
      <c r="F87" s="454" t="n">
        <v>0.125</v>
      </c>
    </row>
    <row r="88" customFormat="false" ht="15.75" hidden="false" customHeight="true" outlineLevel="0" collapsed="false">
      <c r="A88" s="452" t="s">
        <v>942</v>
      </c>
      <c r="B88" s="453" t="s">
        <v>871</v>
      </c>
      <c r="C88" s="140" t="n">
        <v>0.0051</v>
      </c>
      <c r="D88" s="140" t="n">
        <f aca="false">$B$1+E88</f>
        <v>0.0501</v>
      </c>
      <c r="E88" s="454" t="n">
        <v>0.0078</v>
      </c>
      <c r="F88" s="454" t="n">
        <v>0</v>
      </c>
    </row>
    <row r="89" customFormat="false" ht="15.75" hidden="false" customHeight="true" outlineLevel="0" collapsed="false">
      <c r="A89" s="452" t="s">
        <v>943</v>
      </c>
      <c r="B89" s="453" t="s">
        <v>848</v>
      </c>
      <c r="C89" s="140" t="n">
        <v>0.0136</v>
      </c>
      <c r="D89" s="140" t="n">
        <f aca="false">$B$1+E89</f>
        <v>0.063</v>
      </c>
      <c r="E89" s="454" t="n">
        <v>0.0207</v>
      </c>
      <c r="F89" s="454" t="n">
        <v>0.23</v>
      </c>
    </row>
    <row r="90" customFormat="false" ht="15.75" hidden="false" customHeight="true" outlineLevel="0" collapsed="false">
      <c r="A90" s="452" t="s">
        <v>944</v>
      </c>
      <c r="B90" s="453" t="s">
        <v>935</v>
      </c>
      <c r="C90" s="140" t="n">
        <v>0.0162</v>
      </c>
      <c r="D90" s="140" t="n">
        <f aca="false">$B$1+E90</f>
        <v>0.0669</v>
      </c>
      <c r="E90" s="454" t="n">
        <v>0.0246</v>
      </c>
      <c r="F90" s="454" t="n">
        <v>0.2781</v>
      </c>
    </row>
    <row r="91" customFormat="false" ht="15.75" hidden="false" customHeight="true" outlineLevel="0" collapsed="false">
      <c r="A91" s="452" t="s">
        <v>945</v>
      </c>
      <c r="B91" s="453" t="s">
        <v>899</v>
      </c>
      <c r="C91" s="140" t="n">
        <v>0.0256</v>
      </c>
      <c r="D91" s="140" t="n">
        <f aca="false">$B$1+E91</f>
        <v>0.0813</v>
      </c>
      <c r="E91" s="454" t="n">
        <v>0.039</v>
      </c>
      <c r="F91" s="454" t="n">
        <v>0.25</v>
      </c>
    </row>
    <row r="92" customFormat="false" ht="15.75" hidden="false" customHeight="true" outlineLevel="0" collapsed="false">
      <c r="A92" s="452" t="s">
        <v>946</v>
      </c>
      <c r="B92" s="453" t="s">
        <v>844</v>
      </c>
      <c r="C92" s="140" t="n">
        <v>0.0306</v>
      </c>
      <c r="D92" s="140" t="n">
        <f aca="false">$B$1+E92</f>
        <v>0.0889</v>
      </c>
      <c r="E92" s="454" t="n">
        <v>0.0466</v>
      </c>
      <c r="F92" s="454" t="n">
        <v>0.25</v>
      </c>
    </row>
    <row r="93" customFormat="false" ht="15.75" hidden="false" customHeight="true" outlineLevel="0" collapsed="false">
      <c r="A93" s="452" t="s">
        <v>808</v>
      </c>
      <c r="B93" s="453" t="s">
        <v>892</v>
      </c>
      <c r="C93" s="140" t="n">
        <v>0.006</v>
      </c>
      <c r="D93" s="140" t="n">
        <f aca="false">$B$1+E93</f>
        <v>0.0514</v>
      </c>
      <c r="E93" s="454" t="n">
        <v>0.0091</v>
      </c>
      <c r="F93" s="454" t="n">
        <v>0.2974</v>
      </c>
    </row>
    <row r="94" customFormat="false" ht="15.75" hidden="false" customHeight="true" outlineLevel="0" collapsed="false">
      <c r="A94" s="452" t="s">
        <v>947</v>
      </c>
      <c r="B94" s="453" t="s">
        <v>871</v>
      </c>
      <c r="C94" s="140" t="n">
        <v>0.0051</v>
      </c>
      <c r="D94" s="140" t="n">
        <f aca="false">$B$1+E94</f>
        <v>0.0501</v>
      </c>
      <c r="E94" s="454" t="n">
        <v>0.0078</v>
      </c>
      <c r="F94" s="454" t="n">
        <v>0</v>
      </c>
    </row>
    <row r="95" customFormat="false" ht="15.75" hidden="false" customHeight="true" outlineLevel="0" collapsed="false">
      <c r="A95" s="452" t="s">
        <v>948</v>
      </c>
      <c r="B95" s="453" t="s">
        <v>844</v>
      </c>
      <c r="C95" s="140" t="n">
        <v>0.0306</v>
      </c>
      <c r="D95" s="140" t="n">
        <f aca="false">$B$1+E95</f>
        <v>0.0889</v>
      </c>
      <c r="E95" s="454" t="n">
        <v>0.0466</v>
      </c>
      <c r="F95" s="454" t="n">
        <v>0.2</v>
      </c>
    </row>
    <row r="96" customFormat="false" ht="15.75" hidden="false" customHeight="true" outlineLevel="0" collapsed="false">
      <c r="A96" s="452" t="s">
        <v>949</v>
      </c>
      <c r="B96" s="453" t="s">
        <v>848</v>
      </c>
      <c r="C96" s="140" t="n">
        <v>0.0136</v>
      </c>
      <c r="D96" s="140" t="n">
        <f aca="false">$B$1+E96</f>
        <v>0.063</v>
      </c>
      <c r="E96" s="454" t="n">
        <v>0.0207</v>
      </c>
      <c r="F96" s="454" t="n">
        <v>0.2</v>
      </c>
    </row>
    <row r="97" customFormat="false" ht="15.75" hidden="false" customHeight="true" outlineLevel="0" collapsed="false">
      <c r="A97" s="452" t="s">
        <v>950</v>
      </c>
      <c r="B97" s="453" t="s">
        <v>853</v>
      </c>
      <c r="C97" s="140" t="n">
        <v>0.0637</v>
      </c>
      <c r="D97" s="140" t="n">
        <f aca="false">$B$1+E97</f>
        <v>0.1394</v>
      </c>
      <c r="E97" s="454" t="n">
        <v>0.0971</v>
      </c>
      <c r="F97" s="454" t="n">
        <v>0.3</v>
      </c>
    </row>
    <row r="98" customFormat="false" ht="15.75" hidden="false" customHeight="true" outlineLevel="0" collapsed="false">
      <c r="A98" s="455" t="s">
        <v>951</v>
      </c>
      <c r="B98" s="453" t="s">
        <v>846</v>
      </c>
      <c r="C98" s="140" t="n">
        <v>0.102</v>
      </c>
      <c r="D98" s="140" t="n">
        <f aca="false">$B$1+E98</f>
        <v>0.1977</v>
      </c>
      <c r="E98" s="454" t="n">
        <v>0.1554</v>
      </c>
      <c r="F98" s="454" t="n">
        <v>0.1978</v>
      </c>
    </row>
    <row r="99" customFormat="false" ht="15.75" hidden="false" customHeight="true" outlineLevel="0" collapsed="false">
      <c r="A99" s="452" t="s">
        <v>952</v>
      </c>
      <c r="B99" s="453" t="s">
        <v>892</v>
      </c>
      <c r="C99" s="140" t="n">
        <v>0.006</v>
      </c>
      <c r="D99" s="140" t="n">
        <f aca="false">$B$1+E99</f>
        <v>0.0514</v>
      </c>
      <c r="E99" s="454" t="n">
        <v>0.0091</v>
      </c>
      <c r="F99" s="454" t="n">
        <v>0.15</v>
      </c>
    </row>
    <row r="100" customFormat="false" ht="15.75" hidden="false" customHeight="true" outlineLevel="0" collapsed="false">
      <c r="A100" s="452" t="s">
        <v>953</v>
      </c>
      <c r="B100" s="453" t="s">
        <v>27</v>
      </c>
      <c r="C100" s="140" t="n">
        <v>0.0552</v>
      </c>
      <c r="D100" s="140" t="n">
        <f aca="false">$B$1+E100</f>
        <v>0.1264</v>
      </c>
      <c r="E100" s="454" t="n">
        <v>0.0841</v>
      </c>
      <c r="F100" s="454" t="n">
        <v>0.1</v>
      </c>
    </row>
    <row r="101" customFormat="false" ht="15.75" hidden="false" customHeight="true" outlineLevel="0" collapsed="false">
      <c r="A101" s="452" t="s">
        <v>954</v>
      </c>
      <c r="B101" s="453" t="s">
        <v>896</v>
      </c>
      <c r="C101" s="140" t="n">
        <v>0.0765</v>
      </c>
      <c r="D101" s="140" t="n">
        <f aca="false">$B$1+E101</f>
        <v>0.1589</v>
      </c>
      <c r="E101" s="454" t="n">
        <v>0.1166</v>
      </c>
      <c r="F101" s="454" t="n">
        <v>0.2</v>
      </c>
    </row>
    <row r="102" customFormat="false" ht="15.75" hidden="false" customHeight="true" outlineLevel="0" collapsed="false">
      <c r="A102" s="452" t="s">
        <v>955</v>
      </c>
      <c r="B102" s="453" t="s">
        <v>215</v>
      </c>
      <c r="C102" s="140" t="n">
        <v>0.0102</v>
      </c>
      <c r="D102" s="140" t="n">
        <f aca="false">$B$1+E102</f>
        <v>0.0578</v>
      </c>
      <c r="E102" s="454" t="n">
        <v>0.0155</v>
      </c>
      <c r="F102" s="454" t="n">
        <v>0.2</v>
      </c>
    </row>
    <row r="103" customFormat="false" ht="15.75" hidden="false" customHeight="true" outlineLevel="0" collapsed="false">
      <c r="A103" s="452" t="s">
        <v>956</v>
      </c>
      <c r="B103" s="453" t="s">
        <v>869</v>
      </c>
      <c r="C103" s="140" t="n">
        <v>0.175</v>
      </c>
      <c r="D103" s="140" t="n">
        <f aca="false">$B$1+E103</f>
        <v>0.3089</v>
      </c>
      <c r="E103" s="454" t="n">
        <v>0.2666</v>
      </c>
      <c r="F103" s="454" t="n">
        <v>0.17</v>
      </c>
    </row>
    <row r="104" customFormat="false" ht="15.75" hidden="false" customHeight="true" outlineLevel="0" collapsed="false">
      <c r="A104" s="455" t="s">
        <v>957</v>
      </c>
      <c r="B104" s="453" t="s">
        <v>846</v>
      </c>
      <c r="C104" s="140" t="n">
        <v>0.0765</v>
      </c>
      <c r="D104" s="140" t="n">
        <f aca="false">$B$1+E104</f>
        <v>0.1589</v>
      </c>
      <c r="E104" s="454" t="n">
        <v>0.1166</v>
      </c>
      <c r="F104" s="454" t="n">
        <v>0.159</v>
      </c>
    </row>
    <row r="105" customFormat="false" ht="15.75" hidden="false" customHeight="true" outlineLevel="0" collapsed="false">
      <c r="A105" s="455" t="s">
        <v>958</v>
      </c>
      <c r="B105" s="453" t="s">
        <v>846</v>
      </c>
      <c r="C105" s="140" t="n">
        <v>0.0256</v>
      </c>
      <c r="D105" s="140" t="n">
        <f aca="false">$B$1+E105</f>
        <v>0.0813</v>
      </c>
      <c r="E105" s="454" t="n">
        <v>0.039</v>
      </c>
      <c r="F105" s="454" t="n">
        <v>0.0814</v>
      </c>
    </row>
    <row r="106" customFormat="false" ht="15.75" hidden="false" customHeight="true" outlineLevel="0" collapsed="false">
      <c r="A106" s="452" t="s">
        <v>959</v>
      </c>
      <c r="B106" s="453" t="s">
        <v>858</v>
      </c>
      <c r="C106" s="140" t="n">
        <v>0</v>
      </c>
      <c r="D106" s="140" t="n">
        <f aca="false">$B$1+E106</f>
        <v>0.0423</v>
      </c>
      <c r="E106" s="454" t="n">
        <v>0</v>
      </c>
      <c r="F106" s="454" t="n">
        <v>0.125</v>
      </c>
    </row>
    <row r="107" customFormat="false" ht="15.75" hidden="false" customHeight="true" outlineLevel="0" collapsed="false">
      <c r="A107" s="452" t="s">
        <v>960</v>
      </c>
      <c r="B107" s="453" t="s">
        <v>212</v>
      </c>
      <c r="C107" s="140" t="n">
        <v>0.0072</v>
      </c>
      <c r="D107" s="140" t="n">
        <f aca="false">$B$1+E107</f>
        <v>0.0533</v>
      </c>
      <c r="E107" s="454" t="n">
        <v>0.011</v>
      </c>
      <c r="F107" s="454" t="n">
        <v>0.15</v>
      </c>
    </row>
    <row r="108" customFormat="false" ht="15.75" hidden="false" customHeight="true" outlineLevel="0" collapsed="false">
      <c r="A108" s="452" t="s">
        <v>961</v>
      </c>
      <c r="B108" s="453" t="s">
        <v>858</v>
      </c>
      <c r="C108" s="140" t="n">
        <v>0</v>
      </c>
      <c r="D108" s="140" t="n">
        <f aca="false">$B$1+E108</f>
        <v>0.0423</v>
      </c>
      <c r="E108" s="454" t="n">
        <v>0</v>
      </c>
      <c r="F108" s="454" t="n">
        <v>0.2494</v>
      </c>
    </row>
    <row r="109" customFormat="false" ht="15.75" hidden="false" customHeight="true" outlineLevel="0" collapsed="false">
      <c r="A109" s="452" t="s">
        <v>962</v>
      </c>
      <c r="B109" s="453" t="s">
        <v>871</v>
      </c>
      <c r="C109" s="140" t="n">
        <v>0.0051</v>
      </c>
      <c r="D109" s="140" t="n">
        <f aca="false">$B$1+E109</f>
        <v>0.0501</v>
      </c>
      <c r="E109" s="454" t="n">
        <v>0.0078</v>
      </c>
      <c r="F109" s="454" t="n">
        <v>0.25</v>
      </c>
    </row>
    <row r="110" customFormat="false" ht="15.75" hidden="false" customHeight="true" outlineLevel="0" collapsed="false">
      <c r="A110" s="452" t="s">
        <v>963</v>
      </c>
      <c r="B110" s="453" t="s">
        <v>844</v>
      </c>
      <c r="C110" s="140" t="n">
        <v>0.0306</v>
      </c>
      <c r="D110" s="140" t="n">
        <f aca="false">$B$1+E110</f>
        <v>0.0889</v>
      </c>
      <c r="E110" s="454" t="n">
        <v>0.0466</v>
      </c>
      <c r="F110" s="454" t="n">
        <v>0.1</v>
      </c>
    </row>
    <row r="111" customFormat="false" ht="15.75" hidden="false" customHeight="true" outlineLevel="0" collapsed="false">
      <c r="A111" s="455" t="s">
        <v>964</v>
      </c>
      <c r="B111" s="453" t="s">
        <v>846</v>
      </c>
      <c r="C111" s="140" t="n">
        <v>0.0552</v>
      </c>
      <c r="D111" s="140" t="n">
        <f aca="false">$B$1+E111</f>
        <v>0.1264</v>
      </c>
      <c r="E111" s="454" t="n">
        <v>0.0841</v>
      </c>
      <c r="F111" s="454" t="n">
        <v>0.1265</v>
      </c>
    </row>
    <row r="112" customFormat="false" ht="15.75" hidden="false" customHeight="true" outlineLevel="0" collapsed="false">
      <c r="A112" s="455" t="s">
        <v>965</v>
      </c>
      <c r="B112" s="453" t="s">
        <v>846</v>
      </c>
      <c r="C112" s="140" t="n">
        <v>0.085</v>
      </c>
      <c r="D112" s="140" t="n">
        <f aca="false">$B$1+E112</f>
        <v>0.1718</v>
      </c>
      <c r="E112" s="454" t="n">
        <v>0.1295</v>
      </c>
      <c r="F112" s="454" t="n">
        <v>0.1719</v>
      </c>
    </row>
    <row r="113" customFormat="false" ht="15.75" hidden="false" customHeight="true" outlineLevel="0" collapsed="false">
      <c r="A113" s="452" t="s">
        <v>966</v>
      </c>
      <c r="B113" s="453" t="s">
        <v>215</v>
      </c>
      <c r="C113" s="140" t="n">
        <v>0.0102</v>
      </c>
      <c r="D113" s="140" t="n">
        <f aca="false">$B$1+E113</f>
        <v>0.0578</v>
      </c>
      <c r="E113" s="454" t="n">
        <v>0.0155</v>
      </c>
      <c r="F113" s="454" t="n">
        <v>0.24</v>
      </c>
    </row>
    <row r="114" customFormat="false" ht="15.75" hidden="false" customHeight="true" outlineLevel="0" collapsed="false">
      <c r="A114" s="452" t="s">
        <v>967</v>
      </c>
      <c r="B114" s="453" t="s">
        <v>896</v>
      </c>
      <c r="C114" s="140" t="n">
        <v>0.0765</v>
      </c>
      <c r="D114" s="140" t="n">
        <f aca="false">$B$1+E114</f>
        <v>0.1589</v>
      </c>
      <c r="E114" s="454" t="n">
        <v>0.1166</v>
      </c>
      <c r="F114" s="454" t="n">
        <v>0.15</v>
      </c>
    </row>
    <row r="115" customFormat="false" ht="15.75" hidden="false" customHeight="true" outlineLevel="0" collapsed="false">
      <c r="A115" s="452" t="s">
        <v>968</v>
      </c>
      <c r="B115" s="453" t="s">
        <v>896</v>
      </c>
      <c r="C115" s="140" t="n">
        <v>0.0765</v>
      </c>
      <c r="D115" s="140" t="n">
        <f aca="false">$B$1+E115</f>
        <v>0.1589</v>
      </c>
      <c r="E115" s="454" t="n">
        <v>0.1166</v>
      </c>
      <c r="F115" s="454" t="n">
        <v>0.3</v>
      </c>
    </row>
    <row r="116" customFormat="false" ht="15.75" hidden="false" customHeight="true" outlineLevel="0" collapsed="false">
      <c r="A116" s="452" t="s">
        <v>969</v>
      </c>
      <c r="B116" s="453" t="s">
        <v>212</v>
      </c>
      <c r="C116" s="140" t="n">
        <v>0.0072</v>
      </c>
      <c r="D116" s="140" t="n">
        <f aca="false">$B$1+E116</f>
        <v>0.0533</v>
      </c>
      <c r="E116" s="454" t="n">
        <v>0.011</v>
      </c>
      <c r="F116" s="454" t="n">
        <v>0.35</v>
      </c>
    </row>
    <row r="117" customFormat="false" ht="15.75" hidden="false" customHeight="true" outlineLevel="0" collapsed="false">
      <c r="A117" s="452" t="s">
        <v>970</v>
      </c>
      <c r="B117" s="453" t="s">
        <v>846</v>
      </c>
      <c r="C117" s="140" t="n">
        <v>0.0491518302618487</v>
      </c>
      <c r="D117" s="140" t="n">
        <f aca="false">$B$1+E117</f>
        <v>0.117176823349771</v>
      </c>
      <c r="E117" s="454" t="n">
        <v>0.074876823349771</v>
      </c>
      <c r="F117" s="454" t="n">
        <v>0.265265475433749</v>
      </c>
    </row>
    <row r="118" customFormat="false" ht="15.75" hidden="false" customHeight="true" outlineLevel="0" collapsed="false">
      <c r="A118" s="452" t="s">
        <v>971</v>
      </c>
      <c r="B118" s="453" t="s">
        <v>856</v>
      </c>
      <c r="C118" s="140" t="n">
        <v>0.0187</v>
      </c>
      <c r="D118" s="140" t="n">
        <f aca="false">$B$1+E118</f>
        <v>0.0708</v>
      </c>
      <c r="E118" s="454" t="n">
        <v>0.0285</v>
      </c>
      <c r="F118" s="454" t="n">
        <v>0.15</v>
      </c>
    </row>
    <row r="119" customFormat="false" ht="15.75" hidden="false" customHeight="true" outlineLevel="0" collapsed="false">
      <c r="A119" s="452" t="s">
        <v>972</v>
      </c>
      <c r="B119" s="453" t="s">
        <v>935</v>
      </c>
      <c r="C119" s="140" t="n">
        <v>0.0162</v>
      </c>
      <c r="D119" s="140" t="n">
        <f aca="false">$B$1+E119</f>
        <v>0.0669</v>
      </c>
      <c r="E119" s="454" t="n">
        <v>0.0246</v>
      </c>
      <c r="F119" s="454" t="n">
        <v>0.3</v>
      </c>
    </row>
    <row r="120" customFormat="false" ht="15.75" hidden="false" customHeight="true" outlineLevel="0" collapsed="false">
      <c r="A120" s="452" t="s">
        <v>973</v>
      </c>
      <c r="B120" s="453" t="s">
        <v>27</v>
      </c>
      <c r="C120" s="140" t="n">
        <v>0.0552</v>
      </c>
      <c r="D120" s="140" t="n">
        <f aca="false">$B$1+E120</f>
        <v>0.1264</v>
      </c>
      <c r="E120" s="454" t="n">
        <v>0.0841</v>
      </c>
      <c r="F120" s="454" t="n">
        <v>0.12</v>
      </c>
    </row>
    <row r="121" customFormat="false" ht="15.75" hidden="false" customHeight="true" outlineLevel="0" collapsed="false">
      <c r="A121" s="452" t="s">
        <v>974</v>
      </c>
      <c r="B121" s="453" t="s">
        <v>846</v>
      </c>
      <c r="C121" s="140" t="n">
        <v>0</v>
      </c>
      <c r="D121" s="140" t="n">
        <f aca="false">$B$1+E121</f>
        <v>0.0423</v>
      </c>
      <c r="E121" s="454" t="n">
        <v>0</v>
      </c>
      <c r="F121" s="454" t="n">
        <v>0.2</v>
      </c>
    </row>
    <row r="122" customFormat="false" ht="15.75" hidden="false" customHeight="true" outlineLevel="0" collapsed="false">
      <c r="A122" s="452" t="s">
        <v>975</v>
      </c>
      <c r="B122" s="453" t="s">
        <v>863</v>
      </c>
      <c r="C122" s="140" t="n">
        <v>0.0383</v>
      </c>
      <c r="D122" s="140" t="n">
        <f aca="false">$B$1+E122</f>
        <v>0.1006</v>
      </c>
      <c r="E122" s="454" t="n">
        <v>0.0583</v>
      </c>
      <c r="F122" s="454" t="n">
        <v>0.25</v>
      </c>
    </row>
    <row r="123" customFormat="false" ht="15.75" hidden="false" customHeight="true" outlineLevel="0" collapsed="false">
      <c r="A123" s="452" t="s">
        <v>976</v>
      </c>
      <c r="B123" s="453" t="s">
        <v>863</v>
      </c>
      <c r="C123" s="140" t="n">
        <v>0.0383</v>
      </c>
      <c r="D123" s="140" t="n">
        <f aca="false">$B$1+E123</f>
        <v>0.1006</v>
      </c>
      <c r="E123" s="454" t="n">
        <v>0.0583</v>
      </c>
      <c r="F123" s="454" t="n">
        <v>0.15</v>
      </c>
    </row>
    <row r="124" customFormat="false" ht="15.75" hidden="false" customHeight="true" outlineLevel="0" collapsed="false">
      <c r="A124" s="452" t="s">
        <v>977</v>
      </c>
      <c r="B124" s="453" t="s">
        <v>856</v>
      </c>
      <c r="C124" s="140" t="n">
        <v>0.0187</v>
      </c>
      <c r="D124" s="140" t="n">
        <f aca="false">$B$1+E124</f>
        <v>0.0708</v>
      </c>
      <c r="E124" s="454" t="n">
        <v>0.0285</v>
      </c>
      <c r="F124" s="454" t="n">
        <v>0.3</v>
      </c>
    </row>
    <row r="125" customFormat="false" ht="15.75" hidden="false" customHeight="true" outlineLevel="0" collapsed="false">
      <c r="A125" s="452" t="s">
        <v>978</v>
      </c>
      <c r="B125" s="453" t="s">
        <v>880</v>
      </c>
      <c r="C125" s="140" t="n">
        <v>0.0213</v>
      </c>
      <c r="D125" s="140" t="n">
        <f aca="false">$B$1+E125</f>
        <v>0.0747</v>
      </c>
      <c r="E125" s="454" t="n">
        <v>0.0324</v>
      </c>
      <c r="F125" s="454" t="n">
        <v>0.33</v>
      </c>
    </row>
    <row r="126" customFormat="false" ht="15.75" hidden="false" customHeight="true" outlineLevel="0" collapsed="false">
      <c r="A126" s="452" t="s">
        <v>979</v>
      </c>
      <c r="B126" s="453" t="s">
        <v>908</v>
      </c>
      <c r="C126" s="140" t="n">
        <v>0.085</v>
      </c>
      <c r="D126" s="140" t="n">
        <f aca="false">$B$1+E126</f>
        <v>0.1718</v>
      </c>
      <c r="E126" s="454" t="n">
        <v>0.1295</v>
      </c>
      <c r="F126" s="454" t="n">
        <v>0.32</v>
      </c>
    </row>
    <row r="127" customFormat="false" ht="15.75" hidden="false" customHeight="true" outlineLevel="0" collapsed="false">
      <c r="A127" s="455" t="s">
        <v>980</v>
      </c>
      <c r="B127" s="453" t="s">
        <v>846</v>
      </c>
      <c r="C127" s="140" t="n">
        <v>0.102</v>
      </c>
      <c r="D127" s="140" t="n">
        <f aca="false">$B$1+E127</f>
        <v>0.1977</v>
      </c>
      <c r="E127" s="454" t="n">
        <v>0.1554</v>
      </c>
      <c r="F127" s="454" t="n">
        <v>0.1978</v>
      </c>
    </row>
    <row r="128" customFormat="false" ht="15.75" hidden="false" customHeight="true" outlineLevel="0" collapsed="false">
      <c r="A128" s="452" t="s">
        <v>981</v>
      </c>
      <c r="B128" s="453" t="s">
        <v>863</v>
      </c>
      <c r="C128" s="140" t="n">
        <v>0.0383</v>
      </c>
      <c r="D128" s="140" t="n">
        <f aca="false">$B$1+E128</f>
        <v>0.1006</v>
      </c>
      <c r="E128" s="454" t="n">
        <v>0.0583</v>
      </c>
      <c r="F128" s="454" t="n">
        <v>0.32</v>
      </c>
    </row>
    <row r="129" customFormat="false" ht="15.75" hidden="false" customHeight="true" outlineLevel="0" collapsed="false">
      <c r="A129" s="458" t="s">
        <v>982</v>
      </c>
      <c r="B129" s="453" t="s">
        <v>844</v>
      </c>
      <c r="C129" s="140" t="n">
        <v>0.0306</v>
      </c>
      <c r="D129" s="140" t="n">
        <f aca="false">$B$1+E129</f>
        <v>0.0889</v>
      </c>
      <c r="E129" s="454" t="n">
        <v>0.0466</v>
      </c>
      <c r="F129" s="454" t="n">
        <v>0.25</v>
      </c>
    </row>
    <row r="130" customFormat="false" ht="15.75" hidden="false" customHeight="true" outlineLevel="0" collapsed="false">
      <c r="A130" s="452" t="s">
        <v>983</v>
      </c>
      <c r="B130" s="453" t="s">
        <v>858</v>
      </c>
      <c r="C130" s="140" t="n">
        <v>0</v>
      </c>
      <c r="D130" s="140" t="n">
        <f aca="false">$B$1+E130</f>
        <v>0.0423</v>
      </c>
      <c r="E130" s="454" t="n">
        <v>0</v>
      </c>
      <c r="F130" s="454" t="n">
        <v>0.258</v>
      </c>
    </row>
    <row r="131" customFormat="false" ht="15.75" hidden="false" customHeight="true" outlineLevel="0" collapsed="false">
      <c r="A131" s="452" t="s">
        <v>984</v>
      </c>
      <c r="B131" s="453" t="s">
        <v>846</v>
      </c>
      <c r="C131" s="140" t="n">
        <v>0.0491518302618487</v>
      </c>
      <c r="D131" s="140" t="n">
        <f aca="false">$B$1+E131</f>
        <v>0.117176823349771</v>
      </c>
      <c r="E131" s="454" t="n">
        <v>0.074876823349771</v>
      </c>
      <c r="F131" s="454" t="n">
        <v>0.265265475433749</v>
      </c>
    </row>
    <row r="132" customFormat="false" ht="15.75" hidden="false" customHeight="true" outlineLevel="0" collapsed="false">
      <c r="A132" s="452" t="s">
        <v>985</v>
      </c>
      <c r="B132" s="453" t="s">
        <v>858</v>
      </c>
      <c r="C132" s="140" t="n">
        <v>0</v>
      </c>
      <c r="D132" s="140" t="n">
        <f aca="false">$B$1+E132</f>
        <v>0.0423</v>
      </c>
      <c r="E132" s="454" t="n">
        <v>0</v>
      </c>
      <c r="F132" s="454" t="n">
        <v>0.28</v>
      </c>
    </row>
    <row r="133" customFormat="false" ht="15.75" hidden="false" customHeight="true" outlineLevel="0" collapsed="false">
      <c r="A133" s="452" t="s">
        <v>986</v>
      </c>
      <c r="B133" s="453" t="s">
        <v>865</v>
      </c>
      <c r="C133" s="140" t="n">
        <v>0.0467</v>
      </c>
      <c r="D133" s="140" t="n">
        <f aca="false">$B$1+E133</f>
        <v>0.1135</v>
      </c>
      <c r="E133" s="454" t="n">
        <v>0.0712</v>
      </c>
      <c r="F133" s="454" t="n">
        <v>0.3</v>
      </c>
    </row>
    <row r="134" customFormat="false" ht="15.75" hidden="false" customHeight="true" outlineLevel="0" collapsed="false">
      <c r="A134" s="452" t="s">
        <v>987</v>
      </c>
      <c r="B134" s="453" t="s">
        <v>908</v>
      </c>
      <c r="C134" s="140" t="n">
        <v>0.085</v>
      </c>
      <c r="D134" s="140" t="n">
        <f aca="false">$B$1+E134</f>
        <v>0.1718</v>
      </c>
      <c r="E134" s="454" t="n">
        <v>0.1295</v>
      </c>
      <c r="F134" s="454" t="n">
        <v>0.3</v>
      </c>
    </row>
    <row r="135" customFormat="false" ht="15.75" hidden="false" customHeight="true" outlineLevel="0" collapsed="false">
      <c r="A135" s="452" t="s">
        <v>988</v>
      </c>
      <c r="B135" s="453" t="s">
        <v>27</v>
      </c>
      <c r="C135" s="140" t="n">
        <v>0.0552</v>
      </c>
      <c r="D135" s="140" t="n">
        <f aca="false">$B$1+E135</f>
        <v>0.1264</v>
      </c>
      <c r="E135" s="454" t="n">
        <v>0.0841</v>
      </c>
      <c r="F135" s="454" t="n">
        <v>0.3</v>
      </c>
    </row>
    <row r="136" customFormat="false" ht="15.75" hidden="false" customHeight="true" outlineLevel="0" collapsed="false">
      <c r="A136" s="452" t="s">
        <v>989</v>
      </c>
      <c r="B136" s="453" t="s">
        <v>858</v>
      </c>
      <c r="C136" s="140" t="n">
        <v>0</v>
      </c>
      <c r="D136" s="140" t="n">
        <f aca="false">$B$1+E136</f>
        <v>0.0423</v>
      </c>
      <c r="E136" s="454" t="n">
        <v>0</v>
      </c>
      <c r="F136" s="454" t="n">
        <v>0.22</v>
      </c>
    </row>
    <row r="137" customFormat="false" ht="15.75" hidden="false" customHeight="true" outlineLevel="0" collapsed="false">
      <c r="A137" s="452" t="s">
        <v>990</v>
      </c>
      <c r="B137" s="453" t="s">
        <v>856</v>
      </c>
      <c r="C137" s="140" t="n">
        <v>0.0187</v>
      </c>
      <c r="D137" s="140" t="n">
        <f aca="false">$B$1+E137</f>
        <v>0.0708</v>
      </c>
      <c r="E137" s="454" t="n">
        <v>0.0285</v>
      </c>
      <c r="F137" s="454" t="n">
        <v>0.15</v>
      </c>
    </row>
    <row r="138" customFormat="false" ht="15.75" hidden="false" customHeight="true" outlineLevel="0" collapsed="false">
      <c r="A138" s="452" t="s">
        <v>991</v>
      </c>
      <c r="B138" s="453" t="s">
        <v>853</v>
      </c>
      <c r="C138" s="140" t="n">
        <v>0.0637</v>
      </c>
      <c r="D138" s="140" t="n">
        <f aca="false">$B$1+E138</f>
        <v>0.1394</v>
      </c>
      <c r="E138" s="454" t="n">
        <v>0.0971</v>
      </c>
      <c r="F138" s="454" t="n">
        <v>0.29</v>
      </c>
    </row>
    <row r="139" customFormat="false" ht="15.75" hidden="false" customHeight="true" outlineLevel="0" collapsed="false">
      <c r="A139" s="452" t="s">
        <v>992</v>
      </c>
      <c r="B139" s="453" t="s">
        <v>846</v>
      </c>
      <c r="C139" s="140" t="n">
        <v>0.0131726089453596</v>
      </c>
      <c r="D139" s="140" t="n">
        <f aca="false">$B$1+E139</f>
        <v>0.0623668644036819</v>
      </c>
      <c r="E139" s="454" t="n">
        <v>0.0200668644036819</v>
      </c>
      <c r="F139" s="454" t="n">
        <v>0.161202255059785</v>
      </c>
    </row>
    <row r="140" customFormat="false" ht="15.75" hidden="false" customHeight="true" outlineLevel="0" collapsed="false">
      <c r="A140" s="452" t="s">
        <v>993</v>
      </c>
      <c r="B140" s="453" t="s">
        <v>856</v>
      </c>
      <c r="C140" s="140" t="n">
        <v>0.0187</v>
      </c>
      <c r="D140" s="140" t="n">
        <f aca="false">$B$1+E140</f>
        <v>0.0708</v>
      </c>
      <c r="E140" s="454" t="n">
        <v>0.0285</v>
      </c>
      <c r="F140" s="454" t="n">
        <v>0.25</v>
      </c>
    </row>
    <row r="141" customFormat="false" ht="15.75" hidden="false" customHeight="true" outlineLevel="0" collapsed="false">
      <c r="A141" s="452" t="s">
        <v>994</v>
      </c>
      <c r="B141" s="453" t="s">
        <v>865</v>
      </c>
      <c r="C141" s="140" t="n">
        <v>0.0467</v>
      </c>
      <c r="D141" s="140" t="n">
        <f aca="false">$B$1+E141</f>
        <v>0.1135</v>
      </c>
      <c r="E141" s="454" t="n">
        <v>0.0712</v>
      </c>
      <c r="F141" s="454" t="n">
        <v>0.3</v>
      </c>
    </row>
    <row r="142" customFormat="false" ht="15.75" hidden="false" customHeight="true" outlineLevel="0" collapsed="false">
      <c r="A142" s="452" t="s">
        <v>995</v>
      </c>
      <c r="B142" s="453" t="s">
        <v>856</v>
      </c>
      <c r="C142" s="140" t="n">
        <v>0.0187</v>
      </c>
      <c r="D142" s="140" t="n">
        <f aca="false">$B$1+E142</f>
        <v>0.0708</v>
      </c>
      <c r="E142" s="454" t="n">
        <v>0.0285</v>
      </c>
      <c r="F142" s="454" t="n">
        <v>0.1</v>
      </c>
    </row>
    <row r="143" customFormat="false" ht="15.75" hidden="false" customHeight="true" outlineLevel="0" collapsed="false">
      <c r="A143" s="452" t="s">
        <v>996</v>
      </c>
      <c r="B143" s="453" t="s">
        <v>848</v>
      </c>
      <c r="C143" s="140" t="n">
        <v>0.0136</v>
      </c>
      <c r="D143" s="140" t="n">
        <f aca="false">$B$1+E143</f>
        <v>0.063</v>
      </c>
      <c r="E143" s="454" t="n">
        <v>0.0207</v>
      </c>
      <c r="F143" s="454" t="n">
        <v>0.295</v>
      </c>
    </row>
    <row r="144" customFormat="false" ht="15.75" hidden="false" customHeight="true" outlineLevel="0" collapsed="false">
      <c r="A144" s="452" t="s">
        <v>997</v>
      </c>
      <c r="B144" s="453" t="s">
        <v>935</v>
      </c>
      <c r="C144" s="140" t="n">
        <v>0.0162</v>
      </c>
      <c r="D144" s="140" t="n">
        <f aca="false">$B$1+E144</f>
        <v>0.0669</v>
      </c>
      <c r="E144" s="454" t="n">
        <v>0.0246</v>
      </c>
      <c r="F144" s="454" t="n">
        <v>0.25</v>
      </c>
    </row>
    <row r="145" customFormat="false" ht="15.75" hidden="false" customHeight="true" outlineLevel="0" collapsed="false">
      <c r="A145" s="452" t="s">
        <v>998</v>
      </c>
      <c r="B145" s="453" t="s">
        <v>212</v>
      </c>
      <c r="C145" s="140" t="n">
        <v>0.0072</v>
      </c>
      <c r="D145" s="140" t="n">
        <f aca="false">$B$1+E145</f>
        <v>0.0533</v>
      </c>
      <c r="E145" s="454" t="n">
        <v>0.011</v>
      </c>
      <c r="F145" s="454" t="n">
        <v>0.19</v>
      </c>
    </row>
    <row r="146" customFormat="false" ht="15.75" hidden="false" customHeight="true" outlineLevel="0" collapsed="false">
      <c r="A146" s="452" t="s">
        <v>999</v>
      </c>
      <c r="B146" s="453" t="s">
        <v>215</v>
      </c>
      <c r="C146" s="140" t="n">
        <v>0.0102</v>
      </c>
      <c r="D146" s="140" t="n">
        <f aca="false">$B$1+E146</f>
        <v>0.0578</v>
      </c>
      <c r="E146" s="454" t="n">
        <v>0.0155</v>
      </c>
      <c r="F146" s="454" t="n">
        <v>0.315</v>
      </c>
    </row>
    <row r="147" customFormat="false" ht="15.75" hidden="false" customHeight="true" outlineLevel="0" collapsed="false">
      <c r="A147" s="452" t="s">
        <v>1000</v>
      </c>
      <c r="B147" s="453" t="s">
        <v>842</v>
      </c>
      <c r="C147" s="140" t="n">
        <v>0.0042</v>
      </c>
      <c r="D147" s="140" t="n">
        <f aca="false">$B$1+E147</f>
        <v>0.0487</v>
      </c>
      <c r="E147" s="454" t="n">
        <v>0.0064</v>
      </c>
      <c r="F147" s="454" t="n">
        <v>0.1</v>
      </c>
    </row>
    <row r="148" customFormat="false" ht="15.75" hidden="false" customHeight="true" outlineLevel="0" collapsed="false">
      <c r="A148" s="452" t="s">
        <v>1001</v>
      </c>
      <c r="B148" s="453" t="s">
        <v>215</v>
      </c>
      <c r="C148" s="140" t="n">
        <v>0.0102</v>
      </c>
      <c r="D148" s="140" t="n">
        <f aca="false">$B$1+E148</f>
        <v>0.0578</v>
      </c>
      <c r="E148" s="454" t="n">
        <v>0.0155</v>
      </c>
      <c r="F148" s="454" t="n">
        <v>0.1894</v>
      </c>
    </row>
    <row r="149" customFormat="false" ht="15.75" hidden="false" customHeight="true" outlineLevel="0" collapsed="false">
      <c r="A149" s="452" t="s">
        <v>1002</v>
      </c>
      <c r="B149" s="453" t="s">
        <v>846</v>
      </c>
      <c r="C149" s="140" t="n">
        <v>0.0506723044681715</v>
      </c>
      <c r="D149" s="140" t="n">
        <f aca="false">$B$1+E149</f>
        <v>0.119493080505368</v>
      </c>
      <c r="E149" s="454" t="n">
        <v>0.0771930805053684</v>
      </c>
      <c r="F149" s="454" t="n">
        <v>0.273901739052763</v>
      </c>
    </row>
    <row r="150" customFormat="false" ht="15.75" hidden="false" customHeight="true" outlineLevel="0" collapsed="false">
      <c r="A150" s="452" t="s">
        <v>1003</v>
      </c>
      <c r="B150" s="453" t="s">
        <v>856</v>
      </c>
      <c r="C150" s="140" t="n">
        <v>0.0187</v>
      </c>
      <c r="D150" s="140" t="n">
        <f aca="false">$B$1+E150</f>
        <v>0.0708</v>
      </c>
      <c r="E150" s="454" t="n">
        <v>0.0285</v>
      </c>
      <c r="F150" s="454" t="n">
        <v>0.16</v>
      </c>
    </row>
    <row r="151" customFormat="false" ht="15.75" hidden="false" customHeight="true" outlineLevel="0" collapsed="false">
      <c r="A151" s="452" t="s">
        <v>1004</v>
      </c>
      <c r="B151" s="453" t="s">
        <v>846</v>
      </c>
      <c r="C151" s="140" t="n">
        <v>0.0256</v>
      </c>
      <c r="D151" s="140" t="n">
        <f aca="false">$B$1+E151</f>
        <v>0.0813</v>
      </c>
      <c r="E151" s="454" t="n">
        <v>0.039</v>
      </c>
      <c r="F151" s="454" t="n">
        <v>0.0814</v>
      </c>
    </row>
    <row r="152" customFormat="false" ht="15.75" hidden="false" customHeight="true" outlineLevel="0" collapsed="false">
      <c r="A152" s="452" t="s">
        <v>1005</v>
      </c>
      <c r="B152" s="453" t="s">
        <v>865</v>
      </c>
      <c r="C152" s="140" t="n">
        <v>0.0467</v>
      </c>
      <c r="D152" s="140" t="n">
        <f aca="false">$B$1+E152</f>
        <v>0.1135</v>
      </c>
      <c r="E152" s="454" t="n">
        <v>0.0712</v>
      </c>
      <c r="F152" s="454" t="n">
        <v>0.28</v>
      </c>
    </row>
    <row r="153" customFormat="false" ht="15.75" hidden="false" customHeight="true" outlineLevel="0" collapsed="false">
      <c r="A153" s="452" t="s">
        <v>1006</v>
      </c>
      <c r="B153" s="453" t="s">
        <v>846</v>
      </c>
      <c r="C153" s="140" t="n">
        <v>0.0491518302618487</v>
      </c>
      <c r="D153" s="140" t="n">
        <f aca="false">$B$1+E153</f>
        <v>0.117176823349771</v>
      </c>
      <c r="E153" s="454" t="n">
        <v>0.074876823349771</v>
      </c>
      <c r="F153" s="454" t="n">
        <v>0.265265475433749</v>
      </c>
    </row>
    <row r="154" customFormat="false" ht="15.75" hidden="false" customHeight="true" outlineLevel="0" collapsed="false">
      <c r="A154" s="452" t="s">
        <v>1007</v>
      </c>
      <c r="B154" s="453" t="s">
        <v>871</v>
      </c>
      <c r="C154" s="140" t="n">
        <v>0.0051</v>
      </c>
      <c r="D154" s="140" t="n">
        <f aca="false">$B$1+E154</f>
        <v>0.0501</v>
      </c>
      <c r="E154" s="454" t="n">
        <v>0.0078</v>
      </c>
      <c r="F154" s="454" t="n">
        <v>0.2</v>
      </c>
    </row>
    <row r="155" customFormat="false" ht="15.75" hidden="false" customHeight="true" outlineLevel="0" collapsed="false">
      <c r="A155" s="452" t="s">
        <v>1008</v>
      </c>
      <c r="B155" s="453" t="s">
        <v>853</v>
      </c>
      <c r="C155" s="140" t="n">
        <v>0.0637</v>
      </c>
      <c r="D155" s="140" t="n">
        <f aca="false">$B$1+E155</f>
        <v>0.1394</v>
      </c>
      <c r="E155" s="454" t="n">
        <v>0.0971</v>
      </c>
      <c r="F155" s="454" t="n">
        <v>0.3</v>
      </c>
    </row>
    <row r="156" customFormat="false" ht="15.75" hidden="false" customHeight="true" outlineLevel="0" collapsed="false">
      <c r="A156" s="452" t="s">
        <v>1009</v>
      </c>
      <c r="B156" s="453" t="s">
        <v>899</v>
      </c>
      <c r="C156" s="140" t="n">
        <v>0.0256</v>
      </c>
      <c r="D156" s="140" t="n">
        <f aca="false">$B$1+E156</f>
        <v>0.0813</v>
      </c>
      <c r="E156" s="454" t="n">
        <v>0.039</v>
      </c>
      <c r="F156" s="454" t="n">
        <v>0.15</v>
      </c>
    </row>
    <row r="157" customFormat="false" ht="15.75" hidden="false" customHeight="true" outlineLevel="0" collapsed="false">
      <c r="A157" s="452" t="s">
        <v>1010</v>
      </c>
      <c r="B157" s="453" t="s">
        <v>880</v>
      </c>
      <c r="C157" s="140" t="n">
        <v>0.0213</v>
      </c>
      <c r="D157" s="140" t="n">
        <f aca="false">$B$1+E157</f>
        <v>0.0747</v>
      </c>
      <c r="E157" s="454" t="n">
        <v>0.0324</v>
      </c>
      <c r="F157" s="454" t="n">
        <v>0.1894</v>
      </c>
    </row>
    <row r="158" customFormat="false" ht="15.75" hidden="false" customHeight="true" outlineLevel="0" collapsed="false">
      <c r="A158" s="455" t="s">
        <v>1011</v>
      </c>
      <c r="B158" s="453" t="s">
        <v>846</v>
      </c>
      <c r="C158" s="140" t="n">
        <v>0.0552</v>
      </c>
      <c r="D158" s="140" t="n">
        <f aca="false">$B$1+E158</f>
        <v>0.1264</v>
      </c>
      <c r="E158" s="454" t="n">
        <v>0.0841</v>
      </c>
      <c r="F158" s="454" t="n">
        <v>0.1265</v>
      </c>
    </row>
    <row r="159" customFormat="false" ht="15.75" hidden="false" customHeight="true" outlineLevel="0" collapsed="false">
      <c r="A159" s="452" t="s">
        <v>1012</v>
      </c>
      <c r="B159" s="453" t="s">
        <v>858</v>
      </c>
      <c r="C159" s="140" t="n">
        <v>0</v>
      </c>
      <c r="D159" s="140" t="n">
        <f aca="false">$B$1+E159</f>
        <v>0.0423</v>
      </c>
      <c r="E159" s="454" t="n">
        <v>0</v>
      </c>
      <c r="F159" s="454" t="n">
        <v>0.17</v>
      </c>
    </row>
    <row r="160" customFormat="false" ht="15.75" hidden="false" customHeight="true" outlineLevel="0" collapsed="false">
      <c r="A160" s="452" t="s">
        <v>1013</v>
      </c>
      <c r="B160" s="453" t="s">
        <v>215</v>
      </c>
      <c r="C160" s="140" t="n">
        <v>0.0102</v>
      </c>
      <c r="D160" s="140" t="n">
        <f aca="false">$B$1+E160</f>
        <v>0.0578</v>
      </c>
      <c r="E160" s="454" t="n">
        <v>0.0155</v>
      </c>
      <c r="F160" s="454" t="n">
        <v>0.21</v>
      </c>
    </row>
    <row r="161" customFormat="false" ht="15.75" hidden="false" customHeight="true" outlineLevel="0" collapsed="false">
      <c r="A161" s="452" t="s">
        <v>1014</v>
      </c>
      <c r="B161" s="453" t="s">
        <v>215</v>
      </c>
      <c r="C161" s="140" t="n">
        <v>0.0102</v>
      </c>
      <c r="D161" s="140" t="n">
        <f aca="false">$B$1+E161</f>
        <v>0.0578</v>
      </c>
      <c r="E161" s="454" t="n">
        <v>0.0155</v>
      </c>
      <c r="F161" s="454" t="n">
        <v>0.22</v>
      </c>
    </row>
    <row r="162" customFormat="false" ht="15.75" hidden="false" customHeight="true" outlineLevel="0" collapsed="false">
      <c r="A162" s="452" t="s">
        <v>1015</v>
      </c>
      <c r="B162" s="453" t="s">
        <v>853</v>
      </c>
      <c r="C162" s="140" t="n">
        <v>0.0637</v>
      </c>
      <c r="D162" s="140" t="n">
        <f aca="false">$B$1+E162</f>
        <v>0.1394</v>
      </c>
      <c r="E162" s="454" t="n">
        <v>0.0971</v>
      </c>
      <c r="F162" s="454" t="n">
        <v>0.3</v>
      </c>
    </row>
    <row r="163" customFormat="false" ht="15.75" hidden="false" customHeight="true" outlineLevel="0" collapsed="false">
      <c r="A163" s="455" t="s">
        <v>1016</v>
      </c>
      <c r="B163" s="453" t="s">
        <v>846</v>
      </c>
      <c r="C163" s="140" t="n">
        <v>0.085</v>
      </c>
      <c r="D163" s="140" t="n">
        <f aca="false">$B$1+E163</f>
        <v>0.1718</v>
      </c>
      <c r="E163" s="454" t="n">
        <v>0.1295</v>
      </c>
      <c r="F163" s="454" t="n">
        <v>0.1719</v>
      </c>
    </row>
    <row r="164" customFormat="false" ht="15.75" hidden="false" customHeight="true" outlineLevel="0" collapsed="false">
      <c r="A164" s="452" t="s">
        <v>1017</v>
      </c>
      <c r="B164" s="453" t="s">
        <v>899</v>
      </c>
      <c r="C164" s="140" t="n">
        <v>0.0256</v>
      </c>
      <c r="D164" s="140" t="n">
        <f aca="false">$B$1+E164</f>
        <v>0.0813</v>
      </c>
      <c r="E164" s="454" t="n">
        <v>0.039</v>
      </c>
      <c r="F164" s="454" t="n">
        <v>0.27</v>
      </c>
    </row>
    <row r="165" customFormat="false" ht="15.75" hidden="false" customHeight="true" outlineLevel="0" collapsed="false">
      <c r="A165" s="452" t="s">
        <v>1018</v>
      </c>
      <c r="B165" s="453" t="s">
        <v>842</v>
      </c>
      <c r="C165" s="140" t="n">
        <v>0.0042</v>
      </c>
      <c r="D165" s="140" t="n">
        <f aca="false">$B$1+E165</f>
        <v>0.0487</v>
      </c>
      <c r="E165" s="454" t="n">
        <v>0.0064</v>
      </c>
      <c r="F165" s="454" t="n">
        <v>0.264</v>
      </c>
    </row>
    <row r="166" customFormat="false" ht="15.75" hidden="false" customHeight="true" outlineLevel="0" collapsed="false">
      <c r="A166" s="452" t="s">
        <v>1019</v>
      </c>
      <c r="B166" s="453" t="s">
        <v>215</v>
      </c>
      <c r="C166" s="140" t="n">
        <v>0.0102</v>
      </c>
      <c r="D166" s="140" t="n">
        <f aca="false">$B$1+E166</f>
        <v>0.0578</v>
      </c>
      <c r="E166" s="454" t="n">
        <v>0.0155</v>
      </c>
      <c r="F166" s="454" t="n">
        <v>0.25</v>
      </c>
    </row>
    <row r="167" customFormat="false" ht="15.75" hidden="false" customHeight="true" outlineLevel="0" collapsed="false">
      <c r="A167" s="452" t="s">
        <v>1020</v>
      </c>
      <c r="B167" s="453" t="s">
        <v>876</v>
      </c>
      <c r="C167" s="140" t="n">
        <v>0.102</v>
      </c>
      <c r="D167" s="140" t="n">
        <f aca="false">$B$1+E167</f>
        <v>0.1977</v>
      </c>
      <c r="E167" s="454" t="n">
        <v>0.1554</v>
      </c>
      <c r="F167" s="454" t="n">
        <v>0.3</v>
      </c>
    </row>
    <row r="168" customFormat="false" ht="15.75" hidden="false" customHeight="true" outlineLevel="0" collapsed="false">
      <c r="A168" s="452" t="s">
        <v>1021</v>
      </c>
      <c r="B168" s="453" t="s">
        <v>899</v>
      </c>
      <c r="C168" s="140" t="n">
        <v>0.0256</v>
      </c>
      <c r="D168" s="140" t="n">
        <f aca="false">$B$1+E168</f>
        <v>0.0813</v>
      </c>
      <c r="E168" s="454" t="n">
        <v>0.039</v>
      </c>
      <c r="F168" s="454" t="n">
        <v>0.2</v>
      </c>
    </row>
    <row r="169" customFormat="false" ht="15.75" hidden="false" customHeight="true" outlineLevel="0" collapsed="false">
      <c r="A169" s="452" t="s">
        <v>1022</v>
      </c>
      <c r="B169" s="453" t="s">
        <v>27</v>
      </c>
      <c r="C169" s="140" t="n">
        <v>0.0552</v>
      </c>
      <c r="D169" s="140" t="n">
        <f aca="false">$B$1+E169</f>
        <v>0.1264</v>
      </c>
      <c r="E169" s="454" t="n">
        <v>0.0841</v>
      </c>
      <c r="F169" s="454" t="n">
        <v>0.28</v>
      </c>
    </row>
    <row r="170" customFormat="false" ht="15.75" hidden="false" customHeight="true" outlineLevel="0" collapsed="false">
      <c r="A170" s="455" t="s">
        <v>1023</v>
      </c>
      <c r="B170" s="453" t="s">
        <v>846</v>
      </c>
      <c r="C170" s="140" t="n">
        <v>0.175</v>
      </c>
      <c r="D170" s="140" t="n">
        <f aca="false">$B$1+E170</f>
        <v>0.3089</v>
      </c>
      <c r="E170" s="454" t="n">
        <v>0.2666</v>
      </c>
      <c r="F170" s="454" t="n">
        <v>0.309</v>
      </c>
    </row>
    <row r="171" customFormat="false" ht="15.75" hidden="false" customHeight="true" outlineLevel="0" collapsed="false">
      <c r="A171" s="452" t="s">
        <v>1024</v>
      </c>
      <c r="B171" s="453" t="s">
        <v>853</v>
      </c>
      <c r="C171" s="140" t="n">
        <v>0.0637</v>
      </c>
      <c r="D171" s="140" t="n">
        <f aca="false">$B$1+E171</f>
        <v>0.1394</v>
      </c>
      <c r="E171" s="454" t="n">
        <v>0.0971</v>
      </c>
      <c r="F171" s="454" t="n">
        <v>0.36</v>
      </c>
    </row>
    <row r="172" customFormat="false" ht="15.75" hidden="false" customHeight="true" outlineLevel="0" collapsed="false">
      <c r="A172" s="452" t="s">
        <v>1025</v>
      </c>
      <c r="B172" s="453" t="s">
        <v>865</v>
      </c>
      <c r="C172" s="140" t="n">
        <v>0.0467</v>
      </c>
      <c r="D172" s="140" t="n">
        <f aca="false">$B$1+E172</f>
        <v>0.1135</v>
      </c>
      <c r="E172" s="454" t="n">
        <v>0.0712</v>
      </c>
      <c r="F172" s="454" t="n">
        <v>0.25</v>
      </c>
    </row>
    <row r="173" customFormat="false" ht="15.75" hidden="false" customHeight="true" outlineLevel="0" collapsed="false">
      <c r="A173" s="452" t="s">
        <v>1026</v>
      </c>
      <c r="B173" s="453" t="s">
        <v>858</v>
      </c>
      <c r="C173" s="140" t="n">
        <v>0</v>
      </c>
      <c r="D173" s="140" t="n">
        <f aca="false">$B$1+E173</f>
        <v>0.0423</v>
      </c>
      <c r="E173" s="454" t="n">
        <v>0</v>
      </c>
      <c r="F173" s="454" t="n">
        <v>0.206</v>
      </c>
    </row>
    <row r="174" customFormat="false" ht="15.75" hidden="false" customHeight="true" outlineLevel="0" collapsed="false">
      <c r="A174" s="452" t="s">
        <v>1027</v>
      </c>
      <c r="B174" s="453" t="s">
        <v>858</v>
      </c>
      <c r="C174" s="140" t="n">
        <v>0</v>
      </c>
      <c r="D174" s="140" t="n">
        <f aca="false">$B$1+E174</f>
        <v>0.0423</v>
      </c>
      <c r="E174" s="454" t="n">
        <v>0</v>
      </c>
      <c r="F174" s="454" t="n">
        <v>0.1961</v>
      </c>
    </row>
    <row r="175" customFormat="false" ht="15.75" hidden="false" customHeight="true" outlineLevel="0" collapsed="false">
      <c r="A175" s="455" t="s">
        <v>1028</v>
      </c>
      <c r="B175" s="453" t="s">
        <v>846</v>
      </c>
      <c r="C175" s="140" t="n">
        <v>0.102</v>
      </c>
      <c r="D175" s="140" t="n">
        <f aca="false">$B$1+E175</f>
        <v>0.1977</v>
      </c>
      <c r="E175" s="454" t="n">
        <v>0.1554</v>
      </c>
      <c r="F175" s="454" t="n">
        <v>0.1978</v>
      </c>
    </row>
    <row r="176" customFormat="false" ht="15.75" hidden="false" customHeight="true" outlineLevel="0" collapsed="false">
      <c r="A176" s="452" t="s">
        <v>1029</v>
      </c>
      <c r="B176" s="453" t="s">
        <v>871</v>
      </c>
      <c r="C176" s="140" t="n">
        <v>0.0051</v>
      </c>
      <c r="D176" s="140" t="n">
        <f aca="false">$B$1+E176</f>
        <v>0.0501</v>
      </c>
      <c r="E176" s="454" t="n">
        <v>0.0078</v>
      </c>
      <c r="F176" s="454" t="n">
        <v>0.2</v>
      </c>
    </row>
    <row r="177" customFormat="false" ht="15.75" hidden="false" customHeight="true" outlineLevel="0" collapsed="false">
      <c r="A177" s="452" t="s">
        <v>1030</v>
      </c>
      <c r="B177" s="453" t="s">
        <v>27</v>
      </c>
      <c r="C177" s="140" t="n">
        <v>0.0552</v>
      </c>
      <c r="D177" s="140" t="n">
        <f aca="false">$B$1+E177</f>
        <v>0.1264</v>
      </c>
      <c r="E177" s="454" t="n">
        <v>0.0841</v>
      </c>
      <c r="F177" s="454" t="n">
        <v>0.18</v>
      </c>
    </row>
    <row r="178" customFormat="false" ht="15.75" hidden="false" customHeight="true" outlineLevel="0" collapsed="false">
      <c r="A178" s="452" t="s">
        <v>1031</v>
      </c>
      <c r="B178" s="453" t="s">
        <v>863</v>
      </c>
      <c r="C178" s="140" t="n">
        <v>0.0383</v>
      </c>
      <c r="D178" s="140" t="n">
        <f aca="false">$B$1+E178</f>
        <v>0.1006</v>
      </c>
      <c r="E178" s="454" t="n">
        <v>0.0583</v>
      </c>
      <c r="F178" s="454" t="n">
        <v>0.3</v>
      </c>
    </row>
    <row r="179" customFormat="false" ht="15.75" hidden="false" customHeight="true" outlineLevel="0" collapsed="false">
      <c r="A179" s="452" t="s">
        <v>1032</v>
      </c>
      <c r="B179" s="453" t="s">
        <v>848</v>
      </c>
      <c r="C179" s="140" t="n">
        <v>0.0136</v>
      </c>
      <c r="D179" s="140" t="n">
        <f aca="false">$B$1+E179</f>
        <v>0.063</v>
      </c>
      <c r="E179" s="454" t="n">
        <v>0.0207</v>
      </c>
      <c r="F179" s="454" t="n">
        <v>0.2</v>
      </c>
    </row>
    <row r="180" customFormat="false" ht="15.75" hidden="false" customHeight="true" outlineLevel="0" collapsed="false">
      <c r="A180" s="452" t="s">
        <v>1033</v>
      </c>
      <c r="B180" s="453" t="s">
        <v>27</v>
      </c>
      <c r="C180" s="140" t="n">
        <v>0.0552</v>
      </c>
      <c r="D180" s="140" t="n">
        <f aca="false">$B$1+E180</f>
        <v>0.1264</v>
      </c>
      <c r="E180" s="454" t="n">
        <v>0.0841</v>
      </c>
      <c r="F180" s="454" t="n">
        <v>0.27</v>
      </c>
    </row>
    <row r="181" customFormat="false" ht="15.75" hidden="false" customHeight="true" outlineLevel="0" collapsed="false">
      <c r="A181" s="452" t="s">
        <v>1034</v>
      </c>
      <c r="B181" s="453" t="s">
        <v>899</v>
      </c>
      <c r="C181" s="140" t="n">
        <v>0.0256</v>
      </c>
      <c r="D181" s="140" t="n">
        <f aca="false">$B$1+E181</f>
        <v>0.0813</v>
      </c>
      <c r="E181" s="454" t="n">
        <v>0.039</v>
      </c>
      <c r="F181" s="454" t="n">
        <v>0.3</v>
      </c>
    </row>
    <row r="182" customFormat="false" ht="15.75" hidden="false" customHeight="true" outlineLevel="0" collapsed="false">
      <c r="A182" s="452" t="s">
        <v>1035</v>
      </c>
      <c r="B182" s="453" t="s">
        <v>853</v>
      </c>
      <c r="C182" s="140" t="n">
        <v>0.0637</v>
      </c>
      <c r="D182" s="140" t="n">
        <f aca="false">$B$1+E182</f>
        <v>0.1394</v>
      </c>
      <c r="E182" s="454" t="n">
        <v>0.0971</v>
      </c>
      <c r="F182" s="454" t="n">
        <v>0.15</v>
      </c>
    </row>
    <row r="183" customFormat="false" ht="15.75" hidden="false" customHeight="true" outlineLevel="0" collapsed="false">
      <c r="A183" s="452" t="s">
        <v>1036</v>
      </c>
      <c r="B183" s="453" t="s">
        <v>844</v>
      </c>
      <c r="C183" s="140" t="n">
        <v>0.0306</v>
      </c>
      <c r="D183" s="140" t="n">
        <f aca="false">$B$1+E183</f>
        <v>0.0889</v>
      </c>
      <c r="E183" s="454" t="n">
        <v>0.0466</v>
      </c>
      <c r="F183" s="454" t="n">
        <v>0.25</v>
      </c>
    </row>
    <row r="184" customFormat="false" ht="15.75" hidden="false" customHeight="true" outlineLevel="0" collapsed="false">
      <c r="A184" s="456" t="s">
        <v>1037</v>
      </c>
      <c r="B184" s="453" t="s">
        <v>846</v>
      </c>
      <c r="C184" s="140" t="n">
        <v>0.0491518302618487</v>
      </c>
      <c r="D184" s="140" t="n">
        <f aca="false">$B$1+E184</f>
        <v>0.117176823349771</v>
      </c>
      <c r="E184" s="454" t="n">
        <v>0.074876823349771</v>
      </c>
      <c r="F184" s="454" t="n">
        <v>0.265265475433749</v>
      </c>
    </row>
    <row r="185" customFormat="false" ht="15.75" hidden="false" customHeight="true" outlineLevel="0" collapsed="false">
      <c r="A185" s="452" t="s">
        <v>1038</v>
      </c>
      <c r="B185" s="453" t="s">
        <v>27</v>
      </c>
      <c r="C185" s="140" t="n">
        <v>0.0552</v>
      </c>
      <c r="D185" s="140" t="n">
        <f aca="false">$B$1+E185</f>
        <v>0.1264</v>
      </c>
      <c r="E185" s="454" t="n">
        <v>0.0841</v>
      </c>
      <c r="F185" s="454" t="n">
        <v>0.3</v>
      </c>
    </row>
    <row r="186" customFormat="false" ht="15.75" hidden="false" customHeight="true" outlineLevel="0" collapsed="false">
      <c r="A186" s="452" t="s">
        <v>1039</v>
      </c>
      <c r="B186" s="453" t="s">
        <v>876</v>
      </c>
      <c r="C186" s="140" t="n">
        <v>0.102</v>
      </c>
      <c r="D186" s="140" t="n">
        <f aca="false">$B$1+E186</f>
        <v>0.1977</v>
      </c>
      <c r="E186" s="454" t="n">
        <v>0.1554</v>
      </c>
      <c r="F186" s="454" t="n">
        <v>0.18</v>
      </c>
    </row>
    <row r="187" customFormat="false" ht="15.75" hidden="false" customHeight="true" outlineLevel="0" collapsed="false">
      <c r="A187" s="452" t="s">
        <v>1040</v>
      </c>
      <c r="B187" s="453" t="s">
        <v>842</v>
      </c>
      <c r="C187" s="140" t="n">
        <v>0.0042</v>
      </c>
      <c r="D187" s="140" t="n">
        <f aca="false">$B$1+E187</f>
        <v>0.0487</v>
      </c>
      <c r="E187" s="454" t="n">
        <v>0.0064</v>
      </c>
      <c r="F187" s="454" t="n">
        <v>0.09</v>
      </c>
    </row>
    <row r="188" customFormat="false" ht="15.75" hidden="false" customHeight="true" outlineLevel="0" collapsed="false">
      <c r="A188" s="452" t="s">
        <v>1041</v>
      </c>
      <c r="B188" s="453" t="s">
        <v>871</v>
      </c>
      <c r="C188" s="140" t="n">
        <v>0.0051</v>
      </c>
      <c r="D188" s="140" t="n">
        <f aca="false">$B$1+E188</f>
        <v>0.0501</v>
      </c>
      <c r="E188" s="454" t="n">
        <v>0.0078</v>
      </c>
      <c r="F188" s="454" t="n">
        <v>0.25</v>
      </c>
    </row>
    <row r="189" customFormat="false" ht="15.75" hidden="false" customHeight="true" outlineLevel="0" collapsed="false">
      <c r="A189" s="452" t="s">
        <v>34</v>
      </c>
      <c r="B189" s="453" t="s">
        <v>860</v>
      </c>
      <c r="C189" s="140" t="n">
        <v>0.0023</v>
      </c>
      <c r="D189" s="140" t="n">
        <f aca="false">$B$1+E189</f>
        <v>0.0446</v>
      </c>
      <c r="E189" s="454" t="n">
        <v>0.0023</v>
      </c>
      <c r="F189" s="454" t="n">
        <v>0.25</v>
      </c>
    </row>
    <row r="190" customFormat="false" ht="15.75" hidden="false" customHeight="true" outlineLevel="0" collapsed="false">
      <c r="A190" s="452" t="s">
        <v>1042</v>
      </c>
      <c r="B190" s="453" t="s">
        <v>848</v>
      </c>
      <c r="C190" s="140" t="n">
        <v>0.0136</v>
      </c>
      <c r="D190" s="140" t="n">
        <f aca="false">$B$1+E190</f>
        <v>0.063</v>
      </c>
      <c r="E190" s="454" t="n">
        <v>0.0207</v>
      </c>
      <c r="F190" s="454" t="n">
        <v>0.25</v>
      </c>
    </row>
    <row r="191" customFormat="false" ht="15.75" hidden="false" customHeight="true" outlineLevel="0" collapsed="false">
      <c r="A191" s="452" t="s">
        <v>1043</v>
      </c>
      <c r="B191" s="453" t="s">
        <v>844</v>
      </c>
      <c r="C191" s="140" t="n">
        <v>0.0306</v>
      </c>
      <c r="D191" s="140" t="n">
        <f aca="false">$B$1+E191</f>
        <v>0.0889</v>
      </c>
      <c r="E191" s="454" t="n">
        <v>0.0466</v>
      </c>
      <c r="F191" s="454" t="n">
        <v>0.15</v>
      </c>
    </row>
    <row r="192" customFormat="false" ht="15.75" hidden="false" customHeight="true" outlineLevel="0" collapsed="false">
      <c r="A192" s="452" t="s">
        <v>1044</v>
      </c>
      <c r="B192" s="453" t="s">
        <v>869</v>
      </c>
      <c r="C192" s="140" t="n">
        <v>0.175</v>
      </c>
      <c r="D192" s="140" t="n">
        <f aca="false">$B$1+E192</f>
        <v>0.3089</v>
      </c>
      <c r="E192" s="454" t="n">
        <v>0.2666</v>
      </c>
      <c r="F192" s="454" t="n">
        <v>0.34</v>
      </c>
    </row>
    <row r="193" customFormat="false" ht="15.75" hidden="false" customHeight="true" outlineLevel="0" collapsed="false">
      <c r="A193" s="452" t="s">
        <v>1045</v>
      </c>
      <c r="B193" s="453" t="s">
        <v>899</v>
      </c>
      <c r="C193" s="140" t="n">
        <v>0.0256</v>
      </c>
      <c r="D193" s="140" t="n">
        <f aca="false">$B$1+E193</f>
        <v>0.0813</v>
      </c>
      <c r="E193" s="454" t="n">
        <v>0.039</v>
      </c>
      <c r="F193" s="454" t="n">
        <v>0.2</v>
      </c>
    </row>
    <row r="194" customFormat="false" ht="15.75" hidden="false" customHeight="true" outlineLevel="0" collapsed="false">
      <c r="A194" s="455" t="s">
        <v>1046</v>
      </c>
      <c r="B194" s="453" t="s">
        <v>846</v>
      </c>
      <c r="C194" s="140" t="n">
        <v>0.102</v>
      </c>
      <c r="D194" s="140" t="n">
        <f aca="false">$B$1+E194</f>
        <v>0.1977</v>
      </c>
      <c r="E194" s="454" t="n">
        <v>0.1554</v>
      </c>
      <c r="F194" s="454" t="n">
        <v>0.1978</v>
      </c>
    </row>
    <row r="195" customFormat="false" ht="15.75" hidden="false" customHeight="true" outlineLevel="0" collapsed="false">
      <c r="A195" s="452" t="s">
        <v>1047</v>
      </c>
      <c r="B195" s="453" t="s">
        <v>896</v>
      </c>
      <c r="C195" s="154" t="n">
        <v>0.0765</v>
      </c>
      <c r="D195" s="140" t="n">
        <f aca="false">$B$1+E195</f>
        <v>0.1589</v>
      </c>
      <c r="E195" s="454" t="n">
        <v>0.1166</v>
      </c>
      <c r="F195" s="454" t="n">
        <v>0.3</v>
      </c>
    </row>
    <row r="196" customFormat="false" ht="15.75" hidden="false" customHeight="true" outlineLevel="0" collapsed="false">
      <c r="A196" s="455" t="s">
        <v>1048</v>
      </c>
      <c r="B196" s="453" t="s">
        <v>846</v>
      </c>
      <c r="C196" s="454" t="n">
        <v>0.0765</v>
      </c>
      <c r="D196" s="140" t="n">
        <f aca="false">$B$1+E196</f>
        <v>0.1589</v>
      </c>
      <c r="E196" s="454" t="n">
        <v>0.1166</v>
      </c>
      <c r="F196" s="454" t="n">
        <v>0.159</v>
      </c>
    </row>
    <row r="200" customFormat="false" ht="12.75" hidden="false" customHeight="true" outlineLevel="0" collapsed="false">
      <c r="A200" s="459" t="s">
        <v>747</v>
      </c>
      <c r="B200" s="460" t="s">
        <v>732</v>
      </c>
      <c r="C200" s="460" t="s">
        <v>1049</v>
      </c>
      <c r="D200" s="460" t="s">
        <v>1050</v>
      </c>
      <c r="E200" s="460" t="s">
        <v>1051</v>
      </c>
      <c r="F200" s="453" t="s">
        <v>1052</v>
      </c>
    </row>
    <row r="201" customFormat="false" ht="12.75" hidden="false" customHeight="true" outlineLevel="0" collapsed="false">
      <c r="A201" s="461" t="s">
        <v>1053</v>
      </c>
      <c r="B201" s="454" t="n">
        <f aca="false">$B$1+E201</f>
        <v>0.119493080505368</v>
      </c>
      <c r="C201" s="454" t="n">
        <v>0.0506723044681715</v>
      </c>
      <c r="D201" s="454" t="n">
        <v>0.273901739052763</v>
      </c>
      <c r="E201" s="454" t="n">
        <v>0.0771930805053684</v>
      </c>
      <c r="F201" s="462" t="n">
        <v>2340875.22920722</v>
      </c>
    </row>
    <row r="202" customFormat="false" ht="12.75" hidden="false" customHeight="true" outlineLevel="0" collapsed="false">
      <c r="A202" s="461" t="s">
        <v>1054</v>
      </c>
      <c r="B202" s="454" t="n">
        <f aca="false">$B$1+E202</f>
        <v>0.0572232356484523</v>
      </c>
      <c r="C202" s="454" t="n">
        <v>0.00979614669447029</v>
      </c>
      <c r="D202" s="454" t="n">
        <v>0.256545347358525</v>
      </c>
      <c r="E202" s="454" t="n">
        <v>0.0149232356484523</v>
      </c>
      <c r="F202" s="462" t="n">
        <v>34731689.3748114</v>
      </c>
    </row>
    <row r="203" customFormat="false" ht="12.75" hidden="false" customHeight="true" outlineLevel="0" collapsed="false">
      <c r="A203" s="461" t="s">
        <v>1055</v>
      </c>
      <c r="B203" s="454" t="n">
        <f aca="false">$B$1+E203</f>
        <v>0.0423408217320042</v>
      </c>
      <c r="C203" s="454" t="n">
        <v>2.67968478455976E-005</v>
      </c>
      <c r="D203" s="454" t="n">
        <v>0.297352212273797</v>
      </c>
      <c r="E203" s="454" t="n">
        <v>4.08217320042078E-005</v>
      </c>
      <c r="F203" s="462" t="n">
        <v>2018608.83675045</v>
      </c>
    </row>
    <row r="204" customFormat="false" ht="12.75" hidden="false" customHeight="true" outlineLevel="0" collapsed="false">
      <c r="A204" s="461" t="s">
        <v>1056</v>
      </c>
      <c r="B204" s="454" t="n">
        <f aca="false">$B$1+E204</f>
        <v>0.117176823349771</v>
      </c>
      <c r="C204" s="454" t="n">
        <v>0.0491518302618487</v>
      </c>
      <c r="D204" s="454" t="n">
        <v>0.265265475433749</v>
      </c>
      <c r="E204" s="454" t="n">
        <v>0.074876823349771</v>
      </c>
      <c r="F204" s="462" t="n">
        <v>347814.13246985</v>
      </c>
    </row>
    <row r="205" customFormat="false" ht="12.75" hidden="false" customHeight="true" outlineLevel="0" collapsed="false">
      <c r="A205" s="461" t="s">
        <v>1057</v>
      </c>
      <c r="B205" s="454" t="n">
        <f aca="false">$B$1+E205</f>
        <v>0.0846284962061898</v>
      </c>
      <c r="C205" s="454" t="n">
        <v>0.0277859418667808</v>
      </c>
      <c r="D205" s="454" t="n">
        <v>0.31546691365657</v>
      </c>
      <c r="E205" s="454" t="n">
        <v>0.0423284962061898</v>
      </c>
      <c r="F205" s="462" t="n">
        <v>6538486.8558457</v>
      </c>
    </row>
    <row r="206" customFormat="false" ht="12.75" hidden="false" customHeight="true" outlineLevel="0" collapsed="false">
      <c r="A206" s="461" t="s">
        <v>1058</v>
      </c>
      <c r="B206" s="454" t="n">
        <f aca="false">$B$1+E206</f>
        <v>0.0757770910184508</v>
      </c>
      <c r="C206" s="454" t="n">
        <v>0.0219755622873174</v>
      </c>
      <c r="D206" s="454" t="n">
        <v>0.176374800274269</v>
      </c>
      <c r="E206" s="454" t="n">
        <v>0.0334770910184508</v>
      </c>
      <c r="F206" s="462" t="n">
        <v>3491477.19313994</v>
      </c>
    </row>
    <row r="207" customFormat="false" ht="12.75" hidden="false" customHeight="true" outlineLevel="0" collapsed="false">
      <c r="A207" s="461" t="s">
        <v>1059</v>
      </c>
      <c r="B207" s="454" t="n">
        <f aca="false">$B$1+E207</f>
        <v>0.0623668644036819</v>
      </c>
      <c r="C207" s="454" t="n">
        <v>0.0131726089453596</v>
      </c>
      <c r="D207" s="454" t="n">
        <v>0.161202255059785</v>
      </c>
      <c r="E207" s="454" t="n">
        <v>0.0200668644036819</v>
      </c>
      <c r="F207" s="462" t="n">
        <v>3565018.31247331</v>
      </c>
    </row>
    <row r="208" customFormat="false" ht="12.75" hidden="false" customHeight="true" outlineLevel="0" collapsed="false">
      <c r="A208" s="461" t="s">
        <v>1060</v>
      </c>
      <c r="B208" s="454" t="n">
        <f aca="false">$B$1+E208</f>
        <v>0.044464748784794</v>
      </c>
      <c r="C208" s="454" t="n">
        <v>0.00216474878479404</v>
      </c>
      <c r="D208" s="454" t="n">
        <v>0.250825223285197</v>
      </c>
      <c r="E208" s="454" t="n">
        <v>0.00216474878479404</v>
      </c>
      <c r="F208" s="462" t="n">
        <v>30994592.957365</v>
      </c>
    </row>
    <row r="209" customFormat="false" ht="12.75" hidden="false" customHeight="true" outlineLevel="0" collapsed="false">
      <c r="A209" s="461" t="s">
        <v>1061</v>
      </c>
      <c r="B209" s="454" t="n">
        <f aca="false">$B$1+E209</f>
        <v>0.0526654676788577</v>
      </c>
      <c r="C209" s="454" t="n">
        <v>0.00680426445919</v>
      </c>
      <c r="D209" s="454" t="n">
        <v>0.255572311565839</v>
      </c>
      <c r="E209" s="454" t="n">
        <v>0.0103654676788577</v>
      </c>
      <c r="F209" s="462" t="n">
        <v>23561725.6351465</v>
      </c>
    </row>
    <row r="210" customFormat="false" ht="12.75" hidden="false" customHeight="true" outlineLevel="0" collapsed="false">
      <c r="A210" s="461" t="s">
        <v>807</v>
      </c>
      <c r="B210" s="454" t="n">
        <f aca="false">$B$1+E210</f>
        <v>0.0562570733004629</v>
      </c>
      <c r="C210" s="454" t="n">
        <v>0.00937617675218457</v>
      </c>
      <c r="D210" s="454" t="n">
        <v>0.253675760199743</v>
      </c>
      <c r="E210" s="454" t="n">
        <v>0.0139570733004629</v>
      </c>
      <c r="F210" s="462" t="n">
        <v>107590288.527209</v>
      </c>
    </row>
    <row r="213" customFormat="false" ht="12.75" hidden="false" customHeight="true" outlineLevel="0" collapsed="false">
      <c r="A213" s="460"/>
      <c r="B213" s="460" t="s">
        <v>732</v>
      </c>
      <c r="C213" s="460" t="s">
        <v>1062</v>
      </c>
      <c r="D213" s="453" t="s">
        <v>356</v>
      </c>
      <c r="E213" s="460" t="s">
        <v>1063</v>
      </c>
    </row>
    <row r="214" customFormat="false" ht="12.75" hidden="false" customHeight="true" outlineLevel="0" collapsed="false">
      <c r="A214" s="461" t="s">
        <v>1064</v>
      </c>
      <c r="B214" s="454" t="n">
        <f aca="false">$B$1+E214</f>
        <v>0.084914849486746</v>
      </c>
      <c r="C214" s="454" t="n">
        <v>0.0280360851886487</v>
      </c>
      <c r="D214" s="454" t="n">
        <v>0.205872113830814</v>
      </c>
      <c r="E214" s="454" t="n">
        <f aca="false">C214*1.52</f>
        <v>0.042614849486746</v>
      </c>
      <c r="F214" s="427"/>
    </row>
    <row r="215" customFormat="false" ht="12.75" hidden="false" customHeight="true" outlineLevel="0" collapsed="false">
      <c r="A215" s="461" t="s">
        <v>1065</v>
      </c>
      <c r="B215" s="454" t="n">
        <f aca="false">$B$1+E215</f>
        <v>0.0423192903892356</v>
      </c>
      <c r="C215" s="454" t="n">
        <v>1.26910455497376E-005</v>
      </c>
      <c r="D215" s="454" t="n">
        <v>0.278427046099213</v>
      </c>
      <c r="E215" s="454" t="n">
        <f aca="false">C215*1.52</f>
        <v>1.92903892356012E-005</v>
      </c>
    </row>
    <row r="216" customFormat="false" ht="12.75" hidden="false" customHeight="true" outlineLevel="0" collapsed="false">
      <c r="A216" s="461" t="s">
        <v>1066</v>
      </c>
      <c r="B216" s="454" t="n">
        <f aca="false">$B$1+E216</f>
        <v>0.0861749410115473</v>
      </c>
      <c r="C216" s="454" t="n">
        <v>0.0288650927707548</v>
      </c>
      <c r="D216" s="454" t="n">
        <v>0.312931333275486</v>
      </c>
      <c r="E216" s="454" t="n">
        <f aca="false">C216*1.52</f>
        <v>0.0438749410115473</v>
      </c>
    </row>
    <row r="217" customFormat="false" ht="12.75" hidden="false" customHeight="true" outlineLevel="0" collapsed="false">
      <c r="A217" s="461" t="s">
        <v>808</v>
      </c>
      <c r="B217" s="454" t="n">
        <f aca="false">$B$1+E217</f>
        <v>0.051409248196635</v>
      </c>
      <c r="C217" s="454" t="n">
        <v>0.00599292644515462</v>
      </c>
      <c r="D217" s="454" t="n">
        <v>0.2974</v>
      </c>
      <c r="E217" s="454" t="n">
        <f aca="false">C217*1.52</f>
        <v>0.00910924819663502</v>
      </c>
    </row>
    <row r="218" customFormat="false" ht="12.75" hidden="false" customHeight="true" outlineLevel="0" collapsed="false">
      <c r="A218" s="461" t="s">
        <v>798</v>
      </c>
      <c r="B218" s="454" t="n">
        <f aca="false">$B$1+E218</f>
        <v>0.0458471923383879</v>
      </c>
      <c r="C218" s="454" t="n">
        <v>0.00233367916999202</v>
      </c>
      <c r="D218" s="454" t="n">
        <v>0.25</v>
      </c>
      <c r="E218" s="454" t="n">
        <f aca="false">C218*1.52</f>
        <v>0.00354719233838787</v>
      </c>
    </row>
    <row r="219" customFormat="false" ht="12.75" hidden="false" customHeight="true" outlineLevel="0" collapsed="false">
      <c r="A219" s="461" t="s">
        <v>806</v>
      </c>
      <c r="B219" s="454" t="n">
        <f aca="false">$B$1+E219</f>
        <v>0.0526424819779688</v>
      </c>
      <c r="C219" s="454" t="n">
        <v>0.00680426445919</v>
      </c>
      <c r="D219" s="454" t="n">
        <v>0.255572311565839</v>
      </c>
      <c r="E219" s="454" t="n">
        <f aca="false">C219*1.52</f>
        <v>0.0103424819779688</v>
      </c>
    </row>
    <row r="220" customFormat="false" ht="12.75" hidden="false" customHeight="true" outlineLevel="0" collapsed="false">
      <c r="A220" s="461" t="s">
        <v>1067</v>
      </c>
      <c r="B220" s="454" t="n">
        <f aca="false">$B$1+E220</f>
        <v>0.0662243431997699</v>
      </c>
      <c r="C220" s="454" t="n">
        <v>0.0157396994735328</v>
      </c>
      <c r="D220" s="454" t="n">
        <v>0.251101473320245</v>
      </c>
      <c r="E220" s="454" t="n">
        <f aca="false">C220*1.52</f>
        <v>0.0239243431997699</v>
      </c>
    </row>
    <row r="221" customFormat="false" ht="12.75" hidden="false" customHeight="true" outlineLevel="0" collapsed="false">
      <c r="A221" s="461" t="s">
        <v>1068</v>
      </c>
      <c r="B221" s="454" t="n">
        <f aca="false">$B$1+E221</f>
        <v>0.0669852098003664</v>
      </c>
      <c r="C221" s="454" t="n">
        <v>0.0162402696055042</v>
      </c>
      <c r="D221" s="454" t="n">
        <v>0.257263493618372</v>
      </c>
      <c r="E221" s="454" t="n">
        <f aca="false">C221*1.52</f>
        <v>0.0246852098003664</v>
      </c>
    </row>
    <row r="222" customFormat="false" ht="12.75" hidden="false" customHeight="true" outlineLevel="0" collapsed="false">
      <c r="A222" s="461" t="s">
        <v>937</v>
      </c>
      <c r="B222" s="454" t="n">
        <f aca="false">$B$1+E222</f>
        <v>0.0706904902128459</v>
      </c>
      <c r="C222" s="454" t="n">
        <v>0.0186779540873986</v>
      </c>
      <c r="D222" s="454" t="n">
        <v>0.3</v>
      </c>
      <c r="E222" s="454" t="n">
        <f aca="false">C222*1.52</f>
        <v>0.0283904902128459</v>
      </c>
    </row>
    <row r="223" customFormat="false" ht="12.75" hidden="false" customHeight="true" outlineLevel="0" collapsed="false">
      <c r="A223" s="461" t="s">
        <v>736</v>
      </c>
      <c r="B223" s="454" t="n">
        <f aca="false">$B$1+E223</f>
        <v>0.051409248196635</v>
      </c>
      <c r="C223" s="454" t="n">
        <v>0.00599292644515462</v>
      </c>
      <c r="D223" s="454" t="n">
        <v>0.25</v>
      </c>
      <c r="E223" s="454" t="n">
        <f aca="false">C223*1.52</f>
        <v>0.00910924819663502</v>
      </c>
    </row>
    <row r="224" customFormat="false" ht="12.75" hidden="false" customHeight="true" outlineLevel="0" collapsed="false">
      <c r="A224" s="461" t="s">
        <v>807</v>
      </c>
      <c r="B224" s="454" t="n">
        <f aca="false">$B$1+E224</f>
        <v>0.0565517886633205</v>
      </c>
      <c r="C224" s="454" t="n">
        <v>0.00937617675218457</v>
      </c>
      <c r="D224" s="454" t="n">
        <v>0.253675760199743</v>
      </c>
      <c r="E224" s="454" t="n">
        <f aca="false">C224*1.52</f>
        <v>0.0142517886633205</v>
      </c>
    </row>
    <row r="225" customFormat="false" ht="12.75" hidden="false" customHeight="true" outlineLevel="0" collapsed="false">
      <c r="B225" s="348"/>
      <c r="C225" s="348"/>
    </row>
    <row r="226" customFormat="false" ht="12.75" hidden="false" customHeight="true" outlineLevel="0" collapsed="false">
      <c r="A226" s="463" t="s">
        <v>1069</v>
      </c>
      <c r="B226" s="463"/>
      <c r="C226" s="463"/>
    </row>
    <row r="227" customFormat="false" ht="12.75" hidden="false" customHeight="true" outlineLevel="0" collapsed="false">
      <c r="A227" s="460"/>
      <c r="B227" s="460" t="s">
        <v>732</v>
      </c>
      <c r="C227" s="460" t="s">
        <v>1062</v>
      </c>
      <c r="D227" s="453" t="s">
        <v>356</v>
      </c>
      <c r="E227" s="460" t="s">
        <v>1063</v>
      </c>
    </row>
    <row r="228" customFormat="false" ht="13.5" hidden="false" customHeight="true" outlineLevel="0" collapsed="false">
      <c r="A228" s="461" t="s">
        <v>1070</v>
      </c>
      <c r="B228" s="464" t="n">
        <f aca="false">B1+E228</f>
        <v>0.0591112</v>
      </c>
      <c r="C228" s="454" t="n">
        <v>0.01106</v>
      </c>
      <c r="D228" s="465" t="n">
        <v>0.2486</v>
      </c>
      <c r="E228" s="454" t="n">
        <f aca="false">C228*1.52</f>
        <v>0.0168112</v>
      </c>
    </row>
  </sheetData>
  <mergeCells count="1">
    <mergeCell ref="A226:C22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84" activePane="bottomRight" state="frozen"/>
      <selection pane="topLeft" activeCell="A1" activeCellId="0" sqref="A1"/>
      <selection pane="topRight" activeCell="B1" activeCellId="0" sqref="B1"/>
      <selection pane="bottomLeft" activeCell="A84" activeCellId="0" sqref="A84"/>
      <selection pane="bottomRight" activeCell="A1" activeCellId="0" sqref="A1"/>
    </sheetView>
  </sheetViews>
  <sheetFormatPr defaultColWidth="11.5078125" defaultRowHeight="12.75" customHeight="false" zeroHeight="false" outlineLevelRow="0" outlineLevelCol="0"/>
  <cols>
    <col collapsed="false" customWidth="true" hidden="false" outlineLevel="0" max="1" min="1" style="98" width="23.17"/>
    <col collapsed="false" customWidth="true" hidden="false" outlineLevel="0" max="23" min="2" style="348" width="10.66"/>
    <col collapsed="false" customWidth="false" hidden="false" outlineLevel="0" max="27" min="24" style="348" width="11.5"/>
  </cols>
  <sheetData>
    <row r="1" s="470" customFormat="true" ht="69.75" hidden="false" customHeight="true" outlineLevel="0" collapsed="false">
      <c r="A1" s="466" t="s">
        <v>603</v>
      </c>
      <c r="B1" s="467" t="s">
        <v>1071</v>
      </c>
      <c r="C1" s="468" t="s">
        <v>1072</v>
      </c>
      <c r="D1" s="468" t="s">
        <v>1073</v>
      </c>
      <c r="E1" s="468" t="s">
        <v>1074</v>
      </c>
      <c r="F1" s="467" t="s">
        <v>1075</v>
      </c>
      <c r="G1" s="467" t="s">
        <v>767</v>
      </c>
      <c r="H1" s="467" t="s">
        <v>1076</v>
      </c>
      <c r="I1" s="467" t="s">
        <v>12</v>
      </c>
      <c r="J1" s="467" t="s">
        <v>1077</v>
      </c>
      <c r="K1" s="467" t="s">
        <v>13</v>
      </c>
      <c r="L1" s="467" t="s">
        <v>1078</v>
      </c>
      <c r="M1" s="467" t="s">
        <v>15</v>
      </c>
      <c r="N1" s="469" t="s">
        <v>1079</v>
      </c>
      <c r="O1" s="467" t="s">
        <v>765</v>
      </c>
      <c r="P1" s="467" t="s">
        <v>1080</v>
      </c>
      <c r="Q1" s="467" t="s">
        <v>1081</v>
      </c>
      <c r="R1" s="467" t="s">
        <v>1082</v>
      </c>
      <c r="S1" s="467" t="s">
        <v>1083</v>
      </c>
      <c r="T1" s="467" t="s">
        <v>1084</v>
      </c>
      <c r="U1" s="467" t="s">
        <v>1085</v>
      </c>
      <c r="V1" s="467" t="s">
        <v>1086</v>
      </c>
      <c r="W1" s="467" t="s">
        <v>428</v>
      </c>
      <c r="X1" s="467" t="s">
        <v>1087</v>
      </c>
      <c r="Y1" s="467" t="s">
        <v>1088</v>
      </c>
      <c r="Z1" s="467" t="s">
        <v>1089</v>
      </c>
      <c r="AA1" s="467" t="s">
        <v>1090</v>
      </c>
    </row>
    <row r="2" customFormat="false" ht="13.5" hidden="false" customHeight="true" outlineLevel="0" collapsed="false">
      <c r="A2" s="471" t="s">
        <v>605</v>
      </c>
      <c r="B2" s="263" t="n">
        <v>52</v>
      </c>
      <c r="C2" s="472" t="n">
        <v>0.176745217391304</v>
      </c>
      <c r="D2" s="472" t="n">
        <v>0.10065798723499</v>
      </c>
      <c r="E2" s="472" t="n">
        <v>0.277226907474955</v>
      </c>
      <c r="F2" s="472" t="n">
        <v>0.280758201021193</v>
      </c>
      <c r="G2" s="473" t="n">
        <v>1.00800989034213</v>
      </c>
      <c r="H2" s="473" t="n">
        <v>1.21050696740971</v>
      </c>
      <c r="I2" s="472" t="n">
        <v>0.0934886107464732</v>
      </c>
      <c r="J2" s="472" t="n">
        <v>0.62914804050487</v>
      </c>
      <c r="K2" s="472" t="n">
        <v>0.052913</v>
      </c>
      <c r="L2" s="472" t="n">
        <v>0.286733575820606</v>
      </c>
      <c r="M2" s="472" t="n">
        <v>0.078061237361683</v>
      </c>
      <c r="N2" s="473" t="n">
        <v>3.85328410907488</v>
      </c>
      <c r="O2" s="473" t="n">
        <v>2.12489448233471</v>
      </c>
      <c r="P2" s="473" t="n">
        <v>11.9986450750355</v>
      </c>
      <c r="Q2" s="473" t="n">
        <v>20.9087155338744</v>
      </c>
      <c r="R2" s="473" t="n">
        <v>4.5512149974569</v>
      </c>
      <c r="S2" s="473" t="n">
        <v>44.4333528841067</v>
      </c>
      <c r="T2" s="472" t="n">
        <v>0.0383392473978539</v>
      </c>
      <c r="U2" s="472" t="n">
        <v>0.0191285642240404</v>
      </c>
      <c r="V2" s="472" t="n">
        <v>-0.0152131251077997</v>
      </c>
      <c r="W2" s="472" t="n">
        <v>-0.205020821037064</v>
      </c>
      <c r="X2" s="472" t="n">
        <v>-0.0134225663007202</v>
      </c>
      <c r="Y2" s="472" t="n">
        <v>0.00274659429273416</v>
      </c>
      <c r="Z2" s="472" t="n">
        <v>0.00274659429273416</v>
      </c>
      <c r="AA2" s="474" t="n">
        <v>0.101903914288216</v>
      </c>
    </row>
    <row r="3" customFormat="false" ht="13.5" hidden="false" customHeight="true" outlineLevel="0" collapsed="false">
      <c r="A3" s="471" t="s">
        <v>606</v>
      </c>
      <c r="B3" s="263" t="n">
        <v>79</v>
      </c>
      <c r="C3" s="472" t="n">
        <v>0.11099880952381</v>
      </c>
      <c r="D3" s="472" t="n">
        <v>0.0865458899559266</v>
      </c>
      <c r="E3" s="472" t="n">
        <v>0.160123607492574</v>
      </c>
      <c r="F3" s="472" t="n">
        <v>0.171122537330481</v>
      </c>
      <c r="G3" s="473" t="n">
        <v>0.869377282391493</v>
      </c>
      <c r="H3" s="473" t="n">
        <v>0.945491480030761</v>
      </c>
      <c r="I3" s="472" t="n">
        <v>0.0816689200093719</v>
      </c>
      <c r="J3" s="472" t="n">
        <v>0.464522999508638</v>
      </c>
      <c r="K3" s="472" t="n">
        <v>0.052913</v>
      </c>
      <c r="L3" s="472" t="n">
        <v>0.134668119667556</v>
      </c>
      <c r="M3" s="472" t="n">
        <v>0.0760149907784068</v>
      </c>
      <c r="N3" s="473" t="n">
        <v>2.74341043997542</v>
      </c>
      <c r="O3" s="473" t="n">
        <v>3.57070658190899</v>
      </c>
      <c r="P3" s="473" t="n">
        <v>21.5839127651814</v>
      </c>
      <c r="Q3" s="473" t="n">
        <v>34.7879262062014</v>
      </c>
      <c r="R3" s="473" t="n">
        <v>7.88046050432496</v>
      </c>
      <c r="S3" s="473" t="n">
        <v>92.8003153479277</v>
      </c>
      <c r="T3" s="472" t="n">
        <v>0.412102264906396</v>
      </c>
      <c r="U3" s="472" t="n">
        <v>0.0299622950721762</v>
      </c>
      <c r="V3" s="472" t="n">
        <v>0.0081800791076196</v>
      </c>
      <c r="W3" s="472" t="n">
        <v>0.679172616994914</v>
      </c>
      <c r="X3" s="472" t="n">
        <v>0.1526898724988</v>
      </c>
      <c r="Y3" s="472" t="n">
        <v>0.501523408726517</v>
      </c>
      <c r="Z3" s="472" t="n">
        <v>0.501523408726517</v>
      </c>
      <c r="AA3" s="474" t="n">
        <v>0.0876537159144116</v>
      </c>
    </row>
    <row r="4" customFormat="false" ht="13.5" hidden="false" customHeight="true" outlineLevel="0" collapsed="false">
      <c r="A4" s="471" t="s">
        <v>607</v>
      </c>
      <c r="B4" s="263" t="n">
        <v>23</v>
      </c>
      <c r="C4" s="472" t="n">
        <v>0.477861538461539</v>
      </c>
      <c r="D4" s="472" t="n">
        <v>0.053211799634259</v>
      </c>
      <c r="E4" s="472" t="n">
        <v>0.0792931253370483</v>
      </c>
      <c r="F4" s="472" t="n">
        <v>0.226284402565193</v>
      </c>
      <c r="G4" s="473" t="n">
        <v>0.757903817911869</v>
      </c>
      <c r="H4" s="473" t="n">
        <v>1.18546510040671</v>
      </c>
      <c r="I4" s="472" t="n">
        <v>0.0923717434781393</v>
      </c>
      <c r="J4" s="472" t="n">
        <v>0.590043262853523</v>
      </c>
      <c r="K4" s="472" t="n">
        <v>0.052913</v>
      </c>
      <c r="L4" s="472" t="n">
        <v>0.47690692574535</v>
      </c>
      <c r="M4" s="472" t="n">
        <v>0.0672449513917146</v>
      </c>
      <c r="N4" s="473" t="n">
        <v>1.79988365156351</v>
      </c>
      <c r="O4" s="473" t="n">
        <v>1.02595492245027</v>
      </c>
      <c r="P4" s="473" t="n">
        <v>7.57525768425806</v>
      </c>
      <c r="Q4" s="473" t="n">
        <v>19.3186897431579</v>
      </c>
      <c r="R4" s="473" t="n">
        <v>2.84142284844587</v>
      </c>
      <c r="S4" s="473" t="n">
        <v>18.3215466666163</v>
      </c>
      <c r="T4" s="472" t="n">
        <v>0.00451737922404557</v>
      </c>
      <c r="U4" s="472" t="n">
        <v>0.0829719930402814</v>
      </c>
      <c r="V4" s="472" t="n">
        <v>0.0360657305664612</v>
      </c>
      <c r="W4" s="472" t="n">
        <v>0.837544132498838</v>
      </c>
      <c r="X4" s="472" t="n">
        <v>0.141948407860956</v>
      </c>
      <c r="Y4" s="472" t="n">
        <v>0.132071540486027</v>
      </c>
      <c r="Z4" s="472" t="n">
        <v>0.132071540486026</v>
      </c>
      <c r="AA4" s="474" t="n">
        <v>0.0489906423294719</v>
      </c>
    </row>
    <row r="5" customFormat="false" ht="13.5" hidden="false" customHeight="true" outlineLevel="0" collapsed="false">
      <c r="A5" s="471" t="s">
        <v>609</v>
      </c>
      <c r="B5" s="263" t="n">
        <v>35</v>
      </c>
      <c r="C5" s="472" t="n">
        <v>0.0810204347826087</v>
      </c>
      <c r="D5" s="472" t="n">
        <v>0.0911005966008126</v>
      </c>
      <c r="E5" s="472" t="n">
        <v>0.157685156024459</v>
      </c>
      <c r="F5" s="472" t="n">
        <v>0.221135789480123</v>
      </c>
      <c r="G5" s="473" t="n">
        <v>0.794563498700363</v>
      </c>
      <c r="H5" s="473" t="n">
        <v>0.935874464297988</v>
      </c>
      <c r="I5" s="472" t="n">
        <v>0.0812400011076903</v>
      </c>
      <c r="J5" s="472" t="n">
        <v>0.462637367323695</v>
      </c>
      <c r="K5" s="472" t="n">
        <v>0.052913</v>
      </c>
      <c r="L5" s="472" t="n">
        <v>0.238340561374807</v>
      </c>
      <c r="M5" s="472" t="n">
        <v>0.0713356992306123</v>
      </c>
      <c r="N5" s="473" t="n">
        <v>1.76866702951786</v>
      </c>
      <c r="O5" s="473" t="n">
        <v>1.59420982141301</v>
      </c>
      <c r="P5" s="473" t="n">
        <v>10.3048863218164</v>
      </c>
      <c r="Q5" s="473" t="n">
        <v>16.0865215688251</v>
      </c>
      <c r="R5" s="473" t="n">
        <v>3.89395278496113</v>
      </c>
      <c r="S5" s="473" t="n">
        <v>37.8279863891114</v>
      </c>
      <c r="T5" s="472" t="n">
        <v>0.243793654323152</v>
      </c>
      <c r="U5" s="472" t="n">
        <v>0.0241797061080162</v>
      </c>
      <c r="V5" s="472" t="n">
        <v>0.0207654396127813</v>
      </c>
      <c r="W5" s="472" t="n">
        <v>0.314735713177261</v>
      </c>
      <c r="X5" s="472" t="n">
        <v>0.104207714372904</v>
      </c>
      <c r="Y5" s="472" t="n">
        <v>0.500931678167572</v>
      </c>
      <c r="Z5" s="472" t="n">
        <v>0.500931678167572</v>
      </c>
      <c r="AA5" s="474" t="n">
        <v>0.0987364672594272</v>
      </c>
    </row>
    <row r="6" customFormat="false" ht="13.5" hidden="false" customHeight="true" outlineLevel="0" collapsed="false">
      <c r="A6" s="471" t="s">
        <v>610</v>
      </c>
      <c r="B6" s="263" t="n">
        <v>33</v>
      </c>
      <c r="C6" s="472" t="n">
        <v>0.0864</v>
      </c>
      <c r="D6" s="472" t="n">
        <v>0.0231821330337127</v>
      </c>
      <c r="E6" s="472" t="n">
        <v>0.0224741285137561</v>
      </c>
      <c r="F6" s="472" t="n">
        <v>0.219306805042443</v>
      </c>
      <c r="G6" s="473" t="n">
        <v>1.30816520643589</v>
      </c>
      <c r="H6" s="473" t="n">
        <v>1.45649330483478</v>
      </c>
      <c r="I6" s="472" t="n">
        <v>0.104459601395631</v>
      </c>
      <c r="J6" s="472" t="n">
        <v>0.61834605423543</v>
      </c>
      <c r="K6" s="472" t="n">
        <v>0.052913</v>
      </c>
      <c r="L6" s="472" t="n">
        <v>0.164549355231031</v>
      </c>
      <c r="M6" s="472" t="n">
        <v>0.0938009413632943</v>
      </c>
      <c r="N6" s="473" t="n">
        <v>1.07529570022126</v>
      </c>
      <c r="O6" s="473" t="n">
        <v>3.88302042688502</v>
      </c>
      <c r="P6" s="473" t="n">
        <v>47.7558424288081</v>
      </c>
      <c r="Q6" s="473" t="n">
        <v>160.316255319321</v>
      </c>
      <c r="R6" s="473" t="n">
        <v>7.72473180211962</v>
      </c>
      <c r="S6" s="473" t="n">
        <v>64.3203107630421</v>
      </c>
      <c r="T6" s="472" t="n">
        <v>-0.0296121093456634</v>
      </c>
      <c r="U6" s="472" t="n">
        <v>0.0594395697137953</v>
      </c>
      <c r="V6" s="472" t="n">
        <v>0.0209631838906186</v>
      </c>
      <c r="W6" s="472" t="n">
        <v>-0.385567908210305</v>
      </c>
      <c r="X6" s="472" t="n">
        <v>0.0315932252002621</v>
      </c>
      <c r="Y6" s="472" t="n">
        <v>0.583085292580087</v>
      </c>
      <c r="Z6" s="472" t="n">
        <v>0.583085292580087</v>
      </c>
      <c r="AA6" s="474" t="n">
        <v>0.0252829821200055</v>
      </c>
    </row>
    <row r="7" customFormat="false" ht="13.5" hidden="false" customHeight="true" outlineLevel="0" collapsed="false">
      <c r="A7" s="471" t="s">
        <v>1091</v>
      </c>
      <c r="B7" s="263" t="n">
        <v>35</v>
      </c>
      <c r="C7" s="472" t="n">
        <v>0.159094782608696</v>
      </c>
      <c r="D7" s="472" t="n">
        <v>0.0567375866366225</v>
      </c>
      <c r="E7" s="472" t="n">
        <v>0.0897594827332808</v>
      </c>
      <c r="F7" s="472" t="n">
        <v>0.316468417456038</v>
      </c>
      <c r="G7" s="473" t="n">
        <v>1.12830510517836</v>
      </c>
      <c r="H7" s="473" t="n">
        <v>1.33944636519484</v>
      </c>
      <c r="I7" s="472" t="n">
        <v>0.0992393078876899</v>
      </c>
      <c r="J7" s="472" t="n">
        <v>0.49872040429855</v>
      </c>
      <c r="K7" s="472" t="n">
        <v>0.052913</v>
      </c>
      <c r="L7" s="472" t="n">
        <v>0.293106392650663</v>
      </c>
      <c r="M7" s="472" t="n">
        <v>0.081783486259324</v>
      </c>
      <c r="N7" s="473" t="n">
        <v>2.38915970143012</v>
      </c>
      <c r="O7" s="473" t="n">
        <v>0.822835978588616</v>
      </c>
      <c r="P7" s="473" t="n">
        <v>6.4280939850502</v>
      </c>
      <c r="Q7" s="473" t="n">
        <v>12.3828690407349</v>
      </c>
      <c r="R7" s="473" t="n">
        <v>1.86545539853707</v>
      </c>
      <c r="S7" s="473" t="n">
        <v>28.0729769483602</v>
      </c>
      <c r="T7" s="472" t="n">
        <v>0.158549206008845</v>
      </c>
      <c r="U7" s="472" t="n">
        <v>0.0298456790579638</v>
      </c>
      <c r="V7" s="472" t="n">
        <v>0.0201255869335925</v>
      </c>
      <c r="W7" s="472" t="n">
        <v>0.389916092650328</v>
      </c>
      <c r="X7" s="472" t="n">
        <v>0.0217414882119127</v>
      </c>
      <c r="Y7" s="472" t="n">
        <v>1.09546850210354</v>
      </c>
      <c r="Z7" s="472" t="n">
        <v>1.09546850210354</v>
      </c>
      <c r="AA7" s="474" t="n">
        <v>0.0596390047022414</v>
      </c>
    </row>
    <row r="8" customFormat="false" ht="13.5" hidden="false" customHeight="true" outlineLevel="0" collapsed="false">
      <c r="A8" s="471" t="s">
        <v>1092</v>
      </c>
      <c r="B8" s="263" t="n">
        <v>15</v>
      </c>
      <c r="C8" s="472" t="n">
        <v>0.0905642857142857</v>
      </c>
      <c r="D8" s="472" t="n">
        <v>0</v>
      </c>
      <c r="E8" s="472" t="s">
        <v>1093</v>
      </c>
      <c r="F8" s="472" t="n">
        <v>0.17380473141935</v>
      </c>
      <c r="G8" s="473" t="n">
        <v>0.4438913800649</v>
      </c>
      <c r="H8" s="473" t="n">
        <v>0.761046181972533</v>
      </c>
      <c r="I8" s="472" t="n">
        <v>0.073442659715975</v>
      </c>
      <c r="J8" s="472" t="n">
        <v>0.2273871767054</v>
      </c>
      <c r="K8" s="472" t="n">
        <v>0.047306</v>
      </c>
      <c r="L8" s="472" t="n">
        <v>0.621484055635326</v>
      </c>
      <c r="M8" s="472" t="n">
        <v>0.0498491612509592</v>
      </c>
      <c r="N8" s="473" t="n">
        <v>0.19063799548615</v>
      </c>
      <c r="O8" s="473" t="n">
        <v>8.30955725045144</v>
      </c>
      <c r="P8" s="473" t="s">
        <v>1093</v>
      </c>
      <c r="Q8" s="473" t="s">
        <v>1093</v>
      </c>
      <c r="R8" s="473" t="n">
        <v>1.62232963785738</v>
      </c>
      <c r="S8" s="473" t="n">
        <v>14.9510361752873</v>
      </c>
      <c r="T8" s="472" t="s">
        <v>1093</v>
      </c>
      <c r="U8" s="472" t="n">
        <v>0.017805533752554</v>
      </c>
      <c r="V8" s="472" t="n">
        <v>0.0179482443084116</v>
      </c>
      <c r="W8" s="472" t="n">
        <v>0.0498491612509592</v>
      </c>
      <c r="X8" s="472" t="n">
        <v>0.128603342217495</v>
      </c>
      <c r="Y8" s="472" t="n">
        <v>0.281108340506847</v>
      </c>
      <c r="Z8" s="472" t="n">
        <v>0.281108340506847</v>
      </c>
      <c r="AA8" s="474" t="n">
        <v>0.000775080143747161</v>
      </c>
    </row>
    <row r="9" customFormat="false" ht="13.5" hidden="false" customHeight="true" outlineLevel="0" collapsed="false">
      <c r="A9" s="471" t="s">
        <v>1094</v>
      </c>
      <c r="B9" s="263" t="n">
        <v>568</v>
      </c>
      <c r="C9" s="472" t="n">
        <v>0.0804654362416108</v>
      </c>
      <c r="D9" s="472" t="n">
        <v>4.90669058282156E-008</v>
      </c>
      <c r="E9" s="472" t="s">
        <v>1093</v>
      </c>
      <c r="F9" s="472" t="n">
        <v>0.207776446304203</v>
      </c>
      <c r="G9" s="473" t="n">
        <v>0.3744392448486</v>
      </c>
      <c r="H9" s="473" t="n">
        <v>0.398476555640918</v>
      </c>
      <c r="I9" s="472" t="n">
        <v>0.0572720543815849</v>
      </c>
      <c r="J9" s="472" t="n">
        <v>0.226825575529614</v>
      </c>
      <c r="K9" s="472" t="n">
        <v>0.047306</v>
      </c>
      <c r="L9" s="472" t="n">
        <v>0.342547714464012</v>
      </c>
      <c r="M9" s="472" t="n">
        <v>0.0498070646858403</v>
      </c>
      <c r="N9" s="473" t="n">
        <v>0.328788112408653</v>
      </c>
      <c r="O9" s="473" t="n">
        <v>4.27627225241907</v>
      </c>
      <c r="P9" s="473" t="s">
        <v>1093</v>
      </c>
      <c r="Q9" s="473" t="s">
        <v>1093</v>
      </c>
      <c r="R9" s="473" t="n">
        <v>1.13803540846539</v>
      </c>
      <c r="S9" s="473" t="n">
        <v>33.6015176514786</v>
      </c>
      <c r="T9" s="472" t="s">
        <v>1093</v>
      </c>
      <c r="U9" s="472" t="n">
        <v>0.0228922739517225</v>
      </c>
      <c r="V9" s="472" t="n">
        <v>-0.0130243467424337</v>
      </c>
      <c r="W9" s="472" t="s">
        <v>1093</v>
      </c>
      <c r="X9" s="472" t="n">
        <v>0.097543187618609</v>
      </c>
      <c r="Y9" s="472" t="n">
        <v>0.360888130785375</v>
      </c>
      <c r="Z9" s="472" t="n">
        <v>0.360888130785375</v>
      </c>
      <c r="AA9" s="474" t="n">
        <v>-0.00120570210943493</v>
      </c>
    </row>
    <row r="10" customFormat="false" ht="13.5" hidden="false" customHeight="true" outlineLevel="0" collapsed="false">
      <c r="A10" s="471" t="s">
        <v>617</v>
      </c>
      <c r="B10" s="263" t="n">
        <v>14</v>
      </c>
      <c r="C10" s="472" t="n">
        <v>0.0342775</v>
      </c>
      <c r="D10" s="472" t="n">
        <v>0.227633441856199</v>
      </c>
      <c r="E10" s="472" t="n">
        <v>0.157447657765729</v>
      </c>
      <c r="F10" s="472" t="n">
        <v>0.247322060963517</v>
      </c>
      <c r="G10" s="473" t="n">
        <v>0.628046637692584</v>
      </c>
      <c r="H10" s="473" t="n">
        <v>0.812475627713277</v>
      </c>
      <c r="I10" s="472" t="n">
        <v>0.0757364129960121</v>
      </c>
      <c r="J10" s="472" t="n">
        <v>0.559619372454739</v>
      </c>
      <c r="K10" s="472" t="n">
        <v>0.052913</v>
      </c>
      <c r="L10" s="472" t="n">
        <v>0.302350278579513</v>
      </c>
      <c r="M10" s="472" t="n">
        <v>0.0648361826459132</v>
      </c>
      <c r="N10" s="473" t="n">
        <v>0.788310580358521</v>
      </c>
      <c r="O10" s="473" t="n">
        <v>2.45391989500276</v>
      </c>
      <c r="P10" s="473" t="n">
        <v>8.60547949225314</v>
      </c>
      <c r="Q10" s="473" t="n">
        <v>10.7523552310856</v>
      </c>
      <c r="R10" s="473" t="n">
        <v>1.91410664462744</v>
      </c>
      <c r="S10" s="473" t="n">
        <v>28.2962993211533</v>
      </c>
      <c r="T10" s="472" t="n">
        <v>0.146399651232279</v>
      </c>
      <c r="U10" s="472" t="n">
        <v>0.0672049972914894</v>
      </c>
      <c r="V10" s="472" t="n">
        <v>0.037359647665204</v>
      </c>
      <c r="W10" s="472" t="n">
        <v>0.220179279864974</v>
      </c>
      <c r="X10" s="472" t="n">
        <v>0.0056819180842404</v>
      </c>
      <c r="Y10" s="472" t="n">
        <v>0.00224154517375531</v>
      </c>
      <c r="Z10" s="472" t="n">
        <v>0.0022415451737553</v>
      </c>
      <c r="AA10" s="474" t="n">
        <v>0.227872926665266</v>
      </c>
    </row>
    <row r="11" customFormat="false" ht="13.5" hidden="false" customHeight="true" outlineLevel="0" collapsed="false">
      <c r="A11" s="471" t="s">
        <v>1095</v>
      </c>
      <c r="B11" s="263" t="n">
        <v>27</v>
      </c>
      <c r="C11" s="472" t="n">
        <v>0.085835</v>
      </c>
      <c r="D11" s="472" t="n">
        <v>0.205251146409551</v>
      </c>
      <c r="E11" s="472" t="n">
        <v>0.290256354134913</v>
      </c>
      <c r="F11" s="472" t="n">
        <v>0.195735145246839</v>
      </c>
      <c r="G11" s="473" t="n">
        <v>0.575464833041066</v>
      </c>
      <c r="H11" s="473" t="n">
        <v>0.641468707014718</v>
      </c>
      <c r="I11" s="472" t="n">
        <v>0.0681095043328564</v>
      </c>
      <c r="J11" s="472" t="n">
        <v>0.578868975956374</v>
      </c>
      <c r="K11" s="472" t="n">
        <v>0.052913</v>
      </c>
      <c r="L11" s="472" t="n">
        <v>0.170724027385768</v>
      </c>
      <c r="M11" s="472" t="n">
        <v>0.0632567157957001</v>
      </c>
      <c r="N11" s="473" t="n">
        <v>1.54417859843781</v>
      </c>
      <c r="O11" s="473" t="n">
        <v>4.15611345049338</v>
      </c>
      <c r="P11" s="473" t="n">
        <v>16.9042449702308</v>
      </c>
      <c r="Q11" s="473" t="n">
        <v>20.1405703123803</v>
      </c>
      <c r="R11" s="473" t="n">
        <v>6.86906054004121</v>
      </c>
      <c r="S11" s="473" t="n">
        <v>47.7637595217202</v>
      </c>
      <c r="T11" s="472" t="n">
        <v>-0.0600327210262059</v>
      </c>
      <c r="U11" s="472" t="n">
        <v>0.0458905356229256</v>
      </c>
      <c r="V11" s="472" t="n">
        <v>0.0469031591424083</v>
      </c>
      <c r="W11" s="472" t="n">
        <v>0.339337825112335</v>
      </c>
      <c r="X11" s="472" t="n">
        <v>0.309155850955302</v>
      </c>
      <c r="Y11" s="472" t="n">
        <v>0.726680553920058</v>
      </c>
      <c r="Z11" s="472" t="n">
        <v>0.726680553920058</v>
      </c>
      <c r="AA11" s="474" t="n">
        <v>0.206320571232899</v>
      </c>
    </row>
    <row r="12" customFormat="false" ht="13.5" hidden="false" customHeight="true" outlineLevel="0" collapsed="false">
      <c r="A12" s="471" t="s">
        <v>1096</v>
      </c>
      <c r="B12" s="263" t="n">
        <v>24</v>
      </c>
      <c r="C12" s="472" t="n">
        <v>0.084101052631579</v>
      </c>
      <c r="D12" s="472" t="n">
        <v>0.123338931715733</v>
      </c>
      <c r="E12" s="472" t="n">
        <v>0.145672947918031</v>
      </c>
      <c r="F12" s="472" t="n">
        <v>0.255368089286499</v>
      </c>
      <c r="G12" s="473" t="n">
        <v>0.315292569835984</v>
      </c>
      <c r="H12" s="473" t="n">
        <v>0.470752048486345</v>
      </c>
      <c r="I12" s="472" t="n">
        <v>0.060495541362491</v>
      </c>
      <c r="J12" s="472" t="n">
        <v>0.466230699334786</v>
      </c>
      <c r="K12" s="472" t="n">
        <v>0.052913</v>
      </c>
      <c r="L12" s="472" t="n">
        <v>0.461944086378854</v>
      </c>
      <c r="M12" s="472" t="n">
        <v>0.0508821193597242</v>
      </c>
      <c r="N12" s="473" t="n">
        <v>1.27866496750268</v>
      </c>
      <c r="O12" s="473" t="n">
        <v>1.39514042832526</v>
      </c>
      <c r="P12" s="473" t="n">
        <v>7.84701463710848</v>
      </c>
      <c r="Q12" s="473" t="n">
        <v>11.1583966089177</v>
      </c>
      <c r="R12" s="473" t="n">
        <v>1.66472159178075</v>
      </c>
      <c r="S12" s="473" t="n">
        <v>44.7592195956879</v>
      </c>
      <c r="T12" s="472" t="n">
        <v>0.104552129501343</v>
      </c>
      <c r="U12" s="472" t="n">
        <v>0.01823657338898</v>
      </c>
      <c r="V12" s="472" t="n">
        <v>-0.022588756128067</v>
      </c>
      <c r="W12" s="472" t="n">
        <v>1.88762381580554</v>
      </c>
      <c r="X12" s="472" t="n">
        <v>0.0398524966167588</v>
      </c>
      <c r="Y12" s="472" t="n">
        <v>0.608281553794069</v>
      </c>
      <c r="Z12" s="472" t="n">
        <v>0.608281553794069</v>
      </c>
      <c r="AA12" s="474" t="n">
        <v>0.123501001178836</v>
      </c>
    </row>
    <row r="13" customFormat="false" ht="13.5" hidden="false" customHeight="true" outlineLevel="0" collapsed="false">
      <c r="A13" s="471" t="s">
        <v>1097</v>
      </c>
      <c r="B13" s="263" t="n">
        <v>32</v>
      </c>
      <c r="C13" s="472" t="n">
        <v>0.355156521739131</v>
      </c>
      <c r="D13" s="472" t="n">
        <v>-1.7915896597858E-005</v>
      </c>
      <c r="E13" s="472" t="s">
        <v>1093</v>
      </c>
      <c r="F13" s="472" t="n">
        <v>0.204517633384974</v>
      </c>
      <c r="G13" s="473" t="n">
        <v>0.679403084891633</v>
      </c>
      <c r="H13" s="473" t="n">
        <v>1.17145707104784</v>
      </c>
      <c r="I13" s="472" t="n">
        <v>0.0917469853687335</v>
      </c>
      <c r="J13" s="472" t="n">
        <v>0.366085597210624</v>
      </c>
      <c r="K13" s="472" t="n">
        <v>0.050672</v>
      </c>
      <c r="L13" s="472" t="n">
        <v>0.57550426176123</v>
      </c>
      <c r="M13" s="472" t="n">
        <v>0.0608176682492559</v>
      </c>
      <c r="N13" s="473" t="n">
        <v>0.27486794148067</v>
      </c>
      <c r="O13" s="473" t="n">
        <v>5.78226039584532</v>
      </c>
      <c r="P13" s="473" t="s">
        <v>1093</v>
      </c>
      <c r="Q13" s="473" t="s">
        <v>1093</v>
      </c>
      <c r="R13" s="473" t="n">
        <v>2.80859185631856</v>
      </c>
      <c r="S13" s="473" t="n">
        <v>86.5419089817171</v>
      </c>
      <c r="T13" s="472" t="s">
        <v>1093</v>
      </c>
      <c r="U13" s="472" t="n">
        <v>0.0211112753838454</v>
      </c>
      <c r="V13" s="472" t="n">
        <v>0.0163861154733059</v>
      </c>
      <c r="W13" s="472" t="s">
        <v>1093</v>
      </c>
      <c r="X13" s="472" t="n">
        <v>0.17767908407709</v>
      </c>
      <c r="Y13" s="472" t="n">
        <v>0.276130760354893</v>
      </c>
      <c r="Z13" s="472" t="n">
        <v>0.276130760354893</v>
      </c>
      <c r="AA13" s="474" t="n">
        <v>-0.00102258625203537</v>
      </c>
    </row>
    <row r="14" customFormat="false" ht="13.5" hidden="false" customHeight="true" outlineLevel="0" collapsed="false">
      <c r="A14" s="471" t="s">
        <v>619</v>
      </c>
      <c r="B14" s="263" t="n">
        <v>41</v>
      </c>
      <c r="C14" s="472" t="n">
        <v>0.0413874193548387</v>
      </c>
      <c r="D14" s="472" t="n">
        <v>0.126368265167086</v>
      </c>
      <c r="E14" s="472" t="n">
        <v>0.201645687165453</v>
      </c>
      <c r="F14" s="472" t="n">
        <v>0.283568538676428</v>
      </c>
      <c r="G14" s="473" t="n">
        <v>0.960527560488112</v>
      </c>
      <c r="H14" s="473" t="n">
        <v>1.11153217334424</v>
      </c>
      <c r="I14" s="472" t="n">
        <v>0.0890743349311532</v>
      </c>
      <c r="J14" s="472" t="n">
        <v>0.352821009101904</v>
      </c>
      <c r="K14" s="472" t="n">
        <v>0.050672</v>
      </c>
      <c r="L14" s="472" t="n">
        <v>0.206338522938363</v>
      </c>
      <c r="M14" s="472" t="n">
        <v>0.0785365574554916</v>
      </c>
      <c r="N14" s="473" t="n">
        <v>2.06079771486532</v>
      </c>
      <c r="O14" s="473" t="n">
        <v>2.04606122934126</v>
      </c>
      <c r="P14" s="473" t="n">
        <v>11.6070411419935</v>
      </c>
      <c r="Q14" s="473" t="n">
        <v>15.9746010471706</v>
      </c>
      <c r="R14" s="473" t="n">
        <v>3.61632689588609</v>
      </c>
      <c r="S14" s="473" t="n">
        <v>32.7984640104487</v>
      </c>
      <c r="T14" s="472" t="n">
        <v>0.18435836678371</v>
      </c>
      <c r="U14" s="472" t="n">
        <v>0.0355120838492576</v>
      </c>
      <c r="V14" s="472" t="n">
        <v>0.0276846172359809</v>
      </c>
      <c r="W14" s="472" t="n">
        <v>0.382260872780099</v>
      </c>
      <c r="X14" s="472" t="n">
        <v>0.159976177620764</v>
      </c>
      <c r="Y14" s="472" t="n">
        <v>0.255536729785891</v>
      </c>
      <c r="Z14" s="472" t="n">
        <v>0.255536729785891</v>
      </c>
      <c r="AA14" s="474" t="n">
        <v>0.128457396090799</v>
      </c>
    </row>
    <row r="15" customFormat="false" ht="13.5" hidden="false" customHeight="true" outlineLevel="0" collapsed="false">
      <c r="A15" s="471" t="s">
        <v>1098</v>
      </c>
      <c r="B15" s="263" t="n">
        <v>155</v>
      </c>
      <c r="C15" s="472" t="n">
        <v>0.0580269135802469</v>
      </c>
      <c r="D15" s="472" t="n">
        <v>0.122724324503034</v>
      </c>
      <c r="E15" s="472" t="n">
        <v>0.282976914357127</v>
      </c>
      <c r="F15" s="472" t="n">
        <v>0.224573583505296</v>
      </c>
      <c r="G15" s="473" t="n">
        <v>0.806024931488955</v>
      </c>
      <c r="H15" s="473" t="n">
        <v>0.887978533524275</v>
      </c>
      <c r="I15" s="472" t="n">
        <v>0.0791038425951826</v>
      </c>
      <c r="J15" s="472" t="n">
        <v>0.411069916397162</v>
      </c>
      <c r="K15" s="472" t="n">
        <v>0.050672</v>
      </c>
      <c r="L15" s="472" t="n">
        <v>0.164690464711077</v>
      </c>
      <c r="M15" s="472" t="n">
        <v>0.0723350904186299</v>
      </c>
      <c r="N15" s="473" t="n">
        <v>2.79851061305009</v>
      </c>
      <c r="O15" s="473" t="n">
        <v>2.52973271189367</v>
      </c>
      <c r="P15" s="473" t="n">
        <v>14.2571639782969</v>
      </c>
      <c r="Q15" s="473" t="n">
        <v>20.1455729619879</v>
      </c>
      <c r="R15" s="473" t="n">
        <v>5.29941536704329</v>
      </c>
      <c r="S15" s="473" t="n">
        <v>36.3966253358683</v>
      </c>
      <c r="T15" s="472" t="n">
        <v>0.145189851882846</v>
      </c>
      <c r="U15" s="472" t="n">
        <v>0.0260556769895475</v>
      </c>
      <c r="V15" s="472" t="n">
        <v>0.0335913192574485</v>
      </c>
      <c r="W15" s="472" t="n">
        <v>0.44385905738872</v>
      </c>
      <c r="X15" s="472" t="n">
        <v>0.181957619200899</v>
      </c>
      <c r="Y15" s="472" t="n">
        <v>0.426043271973682</v>
      </c>
      <c r="Z15" s="472" t="n">
        <v>0.426043271973682</v>
      </c>
      <c r="AA15" s="474" t="n">
        <v>0.123763810905142</v>
      </c>
    </row>
    <row r="16" customFormat="false" ht="13.5" hidden="false" customHeight="true" outlineLevel="0" collapsed="false">
      <c r="A16" s="471" t="s">
        <v>620</v>
      </c>
      <c r="B16" s="263" t="n">
        <v>9</v>
      </c>
      <c r="C16" s="472" t="n">
        <v>0.269428571428571</v>
      </c>
      <c r="D16" s="472" t="n">
        <v>0.184857458150395</v>
      </c>
      <c r="E16" s="472" t="n">
        <v>0.120621205656212</v>
      </c>
      <c r="F16" s="472" t="n">
        <v>0.189647684014205</v>
      </c>
      <c r="G16" s="473" t="n">
        <v>0.362876907463626</v>
      </c>
      <c r="H16" s="473" t="n">
        <v>0.74074440817776</v>
      </c>
      <c r="I16" s="472" t="n">
        <v>0.0725372006047281</v>
      </c>
      <c r="J16" s="472" t="n">
        <v>0.440407137892804</v>
      </c>
      <c r="K16" s="472" t="n">
        <v>0.050672</v>
      </c>
      <c r="L16" s="472" t="n">
        <v>0.595042430850748</v>
      </c>
      <c r="M16" s="472" t="n">
        <v>0.0519884809718342</v>
      </c>
      <c r="N16" s="473" t="n">
        <v>0.743397551212136</v>
      </c>
      <c r="O16" s="473" t="n">
        <v>2.05548552564958</v>
      </c>
      <c r="P16" s="473" t="n">
        <v>6.20776638155076</v>
      </c>
      <c r="Q16" s="473" t="n">
        <v>11.2674625663209</v>
      </c>
      <c r="R16" s="473" t="n">
        <v>1.31319973500008</v>
      </c>
      <c r="S16" s="473" t="n">
        <v>6.10479523695199</v>
      </c>
      <c r="T16" s="472" t="n">
        <v>0.0189772960336575</v>
      </c>
      <c r="U16" s="472" t="n">
        <v>0.123285495706593</v>
      </c>
      <c r="V16" s="472" t="n">
        <v>-0.00778957131267003</v>
      </c>
      <c r="W16" s="472" t="n">
        <v>-0.0682387614644936</v>
      </c>
      <c r="X16" s="472" t="n">
        <v>0.110598190324784</v>
      </c>
      <c r="Y16" s="472" t="n">
        <v>0.334644357896895</v>
      </c>
      <c r="Z16" s="472" t="n">
        <v>0.334644357896895</v>
      </c>
      <c r="AA16" s="474" t="n">
        <v>0.182180731232368</v>
      </c>
    </row>
    <row r="17" customFormat="false" ht="13.5" hidden="false" customHeight="true" outlineLevel="0" collapsed="false">
      <c r="A17" s="471" t="s">
        <v>623</v>
      </c>
      <c r="B17" s="263" t="n">
        <v>29</v>
      </c>
      <c r="C17" s="472" t="n">
        <v>0.138847058823529</v>
      </c>
      <c r="D17" s="472" t="n">
        <v>0.0267371808817019</v>
      </c>
      <c r="E17" s="472" t="n">
        <v>0.0372459530686415</v>
      </c>
      <c r="F17" s="472" t="n">
        <v>0.351483128051891</v>
      </c>
      <c r="G17" s="473" t="n">
        <v>0.636783066905011</v>
      </c>
      <c r="H17" s="473" t="n">
        <v>1.01224715009899</v>
      </c>
      <c r="I17" s="472" t="n">
        <v>0.084646222894415</v>
      </c>
      <c r="J17" s="472" t="n">
        <v>0.458097069260834</v>
      </c>
      <c r="K17" s="472" t="n">
        <v>0.052913</v>
      </c>
      <c r="L17" s="472" t="n">
        <v>0.498379705378076</v>
      </c>
      <c r="M17" s="472" t="n">
        <v>0.0622383372799321</v>
      </c>
      <c r="N17" s="473" t="n">
        <v>1.49016036239233</v>
      </c>
      <c r="O17" s="473" t="n">
        <v>0.845219020084456</v>
      </c>
      <c r="P17" s="473" t="n">
        <v>8.56734060962358</v>
      </c>
      <c r="Q17" s="473" t="n">
        <v>28.976525915261</v>
      </c>
      <c r="R17" s="473" t="n">
        <v>1.11719221556836</v>
      </c>
      <c r="S17" s="473" t="n">
        <v>24.4205095931578</v>
      </c>
      <c r="T17" s="472" t="n">
        <v>0.162058305646151</v>
      </c>
      <c r="U17" s="472" t="n">
        <v>0.0622818285126616</v>
      </c>
      <c r="V17" s="472" t="n">
        <v>0.0394308721046024</v>
      </c>
      <c r="W17" s="472" t="n">
        <v>1.58652750725472</v>
      </c>
      <c r="X17" s="472" t="n">
        <v>-0.0828988873124604</v>
      </c>
      <c r="Y17" s="472" t="n">
        <v>0.00413163004266254</v>
      </c>
      <c r="Z17" s="472" t="n">
        <v>0.00413163004266259</v>
      </c>
      <c r="AA17" s="474" t="n">
        <v>0.0283228487280309</v>
      </c>
    </row>
    <row r="18" customFormat="false" ht="13.5" hidden="false" customHeight="true" outlineLevel="0" collapsed="false">
      <c r="A18" s="471" t="s">
        <v>624</v>
      </c>
      <c r="B18" s="263" t="n">
        <v>4</v>
      </c>
      <c r="C18" s="472" t="n">
        <v>0.01438</v>
      </c>
      <c r="D18" s="472" t="n">
        <v>0.0329132673877316</v>
      </c>
      <c r="E18" s="472" t="n">
        <v>0.0405426445097198</v>
      </c>
      <c r="F18" s="472" t="e">
        <f aca="false">#DIV/0!</f>
        <v>#DIV/0!</v>
      </c>
      <c r="G18" s="473" t="n">
        <v>0.406143231790019</v>
      </c>
      <c r="H18" s="473" t="n">
        <v>0.85070285625626</v>
      </c>
      <c r="I18" s="472" t="n">
        <v>0.0774413473890292</v>
      </c>
      <c r="J18" s="472" t="n">
        <v>0.390352002383961</v>
      </c>
      <c r="K18" s="472" t="n">
        <v>0.050672</v>
      </c>
      <c r="L18" s="472" t="n">
        <v>0.637825489610278</v>
      </c>
      <c r="M18" s="472" t="n">
        <v>0.052287201981691</v>
      </c>
      <c r="N18" s="473" t="n">
        <v>1.26517917457923</v>
      </c>
      <c r="O18" s="473" t="n">
        <v>0.84169042598767</v>
      </c>
      <c r="P18" s="473" t="n">
        <v>8.38506013854751</v>
      </c>
      <c r="Q18" s="473" t="n">
        <v>24.6866517506939</v>
      </c>
      <c r="R18" s="473" t="n">
        <v>1.08345479000042</v>
      </c>
      <c r="S18" s="473" t="e">
        <f aca="false">#DIV/0!</f>
        <v>#DIV/0!</v>
      </c>
      <c r="T18" s="472" t="n">
        <v>0.166936560811796</v>
      </c>
      <c r="U18" s="472" t="n">
        <v>0.0432991261688904</v>
      </c>
      <c r="V18" s="472" t="n">
        <v>-0.0118102378990039</v>
      </c>
      <c r="W18" s="472" t="n">
        <v>-0.45735482683523</v>
      </c>
      <c r="X18" s="472" t="n">
        <v>-0.15302086015967</v>
      </c>
      <c r="Y18" s="472" t="e">
        <f aca="false">#DIV/0!</f>
        <v>#DIV/0!</v>
      </c>
      <c r="Z18" s="472" t="e">
        <f aca="false">#DIV/0!</f>
        <v>#DIV/0!</v>
      </c>
      <c r="AA18" s="474" t="n">
        <v>0.0343539962508004</v>
      </c>
    </row>
    <row r="19" customFormat="false" ht="13.5" hidden="false" customHeight="true" outlineLevel="0" collapsed="false">
      <c r="A19" s="471" t="s">
        <v>625</v>
      </c>
      <c r="B19" s="263" t="n">
        <v>59</v>
      </c>
      <c r="C19" s="472" t="n">
        <v>0.0803534883720931</v>
      </c>
      <c r="D19" s="472" t="n">
        <v>0.12171996795179</v>
      </c>
      <c r="E19" s="472" t="n">
        <v>0.109494439185036</v>
      </c>
      <c r="F19" s="472" t="n">
        <v>0.247385255420127</v>
      </c>
      <c r="G19" s="473" t="n">
        <v>0.824470658604129</v>
      </c>
      <c r="H19" s="473" t="n">
        <v>0.969782881777575</v>
      </c>
      <c r="I19" s="472" t="n">
        <v>0.0827523165272799</v>
      </c>
      <c r="J19" s="472" t="n">
        <v>0.423051609547503</v>
      </c>
      <c r="K19" s="472" t="n">
        <v>0.050672</v>
      </c>
      <c r="L19" s="472" t="n">
        <v>0.230076076396599</v>
      </c>
      <c r="M19" s="472" t="n">
        <v>0.0724567994353302</v>
      </c>
      <c r="N19" s="473" t="n">
        <v>1.1054194084316</v>
      </c>
      <c r="O19" s="473" t="n">
        <v>2.64761454945452</v>
      </c>
      <c r="P19" s="473" t="n">
        <v>13.3592610310568</v>
      </c>
      <c r="Q19" s="473" t="n">
        <v>21.3000417916942</v>
      </c>
      <c r="R19" s="473" t="n">
        <v>2.44973973590539</v>
      </c>
      <c r="S19" s="473" t="n">
        <v>196.774089408346</v>
      </c>
      <c r="T19" s="472" t="n">
        <v>0.237965133388361</v>
      </c>
      <c r="U19" s="472" t="n">
        <v>0.0847536902102636</v>
      </c>
      <c r="V19" s="472" t="n">
        <v>0.0405485989384877</v>
      </c>
      <c r="W19" s="472" t="n">
        <v>0.51614040151385</v>
      </c>
      <c r="X19" s="472" t="n">
        <v>0.0349878539710556</v>
      </c>
      <c r="Y19" s="472" t="n">
        <v>1.30009358230246</v>
      </c>
      <c r="Z19" s="472" t="n">
        <v>1.30009358230246</v>
      </c>
      <c r="AA19" s="474" t="n">
        <v>0.124538937617258</v>
      </c>
    </row>
    <row r="20" customFormat="false" ht="13.5" hidden="false" customHeight="true" outlineLevel="0" collapsed="false">
      <c r="A20" s="471" t="s">
        <v>1099</v>
      </c>
      <c r="B20" s="263" t="n">
        <v>16</v>
      </c>
      <c r="C20" s="472" t="n">
        <v>0.192385714285714</v>
      </c>
      <c r="D20" s="472" t="n">
        <v>-0.0401718131419366</v>
      </c>
      <c r="E20" s="472" t="n">
        <v>-0.0475962701336232</v>
      </c>
      <c r="F20" s="472" t="n">
        <v>0.0967184801381693</v>
      </c>
      <c r="G20" s="473" t="n">
        <v>1.18243819993465</v>
      </c>
      <c r="H20" s="473" t="n">
        <v>1.07099319148976</v>
      </c>
      <c r="I20" s="472" t="n">
        <v>0.0872662963404435</v>
      </c>
      <c r="J20" s="472" t="n">
        <v>0.643149091221658</v>
      </c>
      <c r="K20" s="472" t="n">
        <v>0.052913</v>
      </c>
      <c r="L20" s="472" t="n">
        <v>0.0666677781539669</v>
      </c>
      <c r="M20" s="472" t="n">
        <v>0.0840941403647961</v>
      </c>
      <c r="N20" s="473" t="n">
        <v>1.29122836461491</v>
      </c>
      <c r="O20" s="473" t="n">
        <v>2.53691569347451</v>
      </c>
      <c r="P20" s="473" t="n">
        <v>10.3689962502683</v>
      </c>
      <c r="Q20" s="473" t="s">
        <v>1093</v>
      </c>
      <c r="R20" s="473" t="n">
        <v>2.24732510404522</v>
      </c>
      <c r="S20" s="473" t="n">
        <v>17.0075889370304</v>
      </c>
      <c r="T20" s="472" t="n">
        <v>0.101762234981234</v>
      </c>
      <c r="U20" s="472" t="n">
        <v>0.0936244052810981</v>
      </c>
      <c r="V20" s="472" t="n">
        <v>-0.0311720275904484</v>
      </c>
      <c r="W20" s="472" t="s">
        <v>1093</v>
      </c>
      <c r="X20" s="472" t="n">
        <v>-0.0251324071100055</v>
      </c>
      <c r="Y20" s="472" t="n">
        <v>0.000817241379310345</v>
      </c>
      <c r="Z20" s="472" t="n">
        <v>0.000817241379310385</v>
      </c>
      <c r="AA20" s="474" t="n">
        <v>-0.0384447281918953</v>
      </c>
    </row>
    <row r="21" customFormat="false" ht="13.5" hidden="false" customHeight="true" outlineLevel="0" collapsed="false">
      <c r="A21" s="471" t="s">
        <v>1100</v>
      </c>
      <c r="B21" s="263" t="n">
        <v>64</v>
      </c>
      <c r="C21" s="472" t="n">
        <v>0.270998421052632</v>
      </c>
      <c r="D21" s="472" t="n">
        <v>0.0740933474593172</v>
      </c>
      <c r="E21" s="472" t="n">
        <v>0.263485632368518</v>
      </c>
      <c r="F21" s="472" t="n">
        <v>0.225637113243613</v>
      </c>
      <c r="G21" s="473" t="n">
        <v>0.961700998989143</v>
      </c>
      <c r="H21" s="473" t="n">
        <v>1.08785590347337</v>
      </c>
      <c r="I21" s="472" t="n">
        <v>0.0880183732949122</v>
      </c>
      <c r="J21" s="472" t="n">
        <v>0.534253031432555</v>
      </c>
      <c r="K21" s="472" t="n">
        <v>0.052913</v>
      </c>
      <c r="L21" s="472" t="n">
        <v>0.200640271769632</v>
      </c>
      <c r="M21" s="472" t="n">
        <v>0.07832070198141</v>
      </c>
      <c r="N21" s="473" t="n">
        <v>5.18989069169616</v>
      </c>
      <c r="O21" s="473" t="n">
        <v>1.4770942483991</v>
      </c>
      <c r="P21" s="473" t="n">
        <v>14.0950496947745</v>
      </c>
      <c r="Q21" s="473" t="n">
        <v>19.2519854789986</v>
      </c>
      <c r="R21" s="473" t="n">
        <v>4.72826530799343</v>
      </c>
      <c r="S21" s="473" t="n">
        <v>51.599295050522</v>
      </c>
      <c r="T21" s="472" t="n">
        <v>0.134002219012555</v>
      </c>
      <c r="U21" s="472" t="n">
        <v>0.00950977043948039</v>
      </c>
      <c r="V21" s="472" t="n">
        <v>0.0191175020122248</v>
      </c>
      <c r="W21" s="472" t="n">
        <v>0.444077810864138</v>
      </c>
      <c r="X21" s="472" t="n">
        <v>0.182505922696127</v>
      </c>
      <c r="Y21" s="472" t="n">
        <v>0.509920507156196</v>
      </c>
      <c r="Z21" s="472" t="n">
        <v>0.509920507156196</v>
      </c>
      <c r="AA21" s="474" t="n">
        <v>0.0781055307710438</v>
      </c>
    </row>
    <row r="22" customFormat="false" ht="13.5" hidden="false" customHeight="true" outlineLevel="0" collapsed="false">
      <c r="A22" s="471" t="s">
        <v>37</v>
      </c>
      <c r="B22" s="263" t="n">
        <v>36</v>
      </c>
      <c r="C22" s="472" t="n">
        <v>0.0671086956521739</v>
      </c>
      <c r="D22" s="472" t="n">
        <v>0.22484874696685</v>
      </c>
      <c r="E22" s="472" t="n">
        <v>0.44760352743839</v>
      </c>
      <c r="F22" s="472" t="n">
        <v>0.153545393472821</v>
      </c>
      <c r="G22" s="473" t="n">
        <v>1.32458703967779</v>
      </c>
      <c r="H22" s="473" t="n">
        <v>1.35032920858517</v>
      </c>
      <c r="I22" s="472" t="n">
        <v>0.0997246827028985</v>
      </c>
      <c r="J22" s="472" t="n">
        <v>0.545767951717885</v>
      </c>
      <c r="K22" s="472" t="n">
        <v>0.052913</v>
      </c>
      <c r="L22" s="472" t="n">
        <v>0.0442031037804936</v>
      </c>
      <c r="M22" s="472" t="n">
        <v>0.0970707313266584</v>
      </c>
      <c r="N22" s="473" t="n">
        <v>3.61978874976867</v>
      </c>
      <c r="O22" s="473" t="n">
        <v>6.62980318872859</v>
      </c>
      <c r="P22" s="473" t="n">
        <v>25.4244916442558</v>
      </c>
      <c r="Q22" s="473" t="n">
        <v>29.3588813000931</v>
      </c>
      <c r="R22" s="473" t="n">
        <v>34.0820612254369</v>
      </c>
      <c r="S22" s="473" t="n">
        <v>81.1319884247503</v>
      </c>
      <c r="T22" s="472" t="n">
        <v>-0.0470574185142102</v>
      </c>
      <c r="U22" s="472" t="n">
        <v>0.0294713504820125</v>
      </c>
      <c r="V22" s="472" t="n">
        <v>0.0289943719244913</v>
      </c>
      <c r="W22" s="472" t="n">
        <v>0.213688997544743</v>
      </c>
      <c r="X22" s="472" t="n">
        <v>-0.0017413160406025</v>
      </c>
      <c r="Y22" s="472" t="n">
        <v>0.160302152343658</v>
      </c>
      <c r="Z22" s="472" t="n">
        <v>0.160302152343658</v>
      </c>
      <c r="AA22" s="474" t="n">
        <v>0.229236598038503</v>
      </c>
    </row>
    <row r="23" customFormat="false" ht="13.5" hidden="false" customHeight="true" outlineLevel="0" collapsed="false">
      <c r="A23" s="471" t="s">
        <v>1101</v>
      </c>
      <c r="B23" s="263" t="n">
        <v>40</v>
      </c>
      <c r="C23" s="472" t="n">
        <v>0.137039285714286</v>
      </c>
      <c r="D23" s="472" t="n">
        <v>0.152285879662031</v>
      </c>
      <c r="E23" s="472" t="n">
        <v>0.167060628675115</v>
      </c>
      <c r="F23" s="472" t="n">
        <v>0.225475100908023</v>
      </c>
      <c r="G23" s="473" t="n">
        <v>1.04682969737582</v>
      </c>
      <c r="H23" s="473" t="n">
        <v>1.15035605685116</v>
      </c>
      <c r="I23" s="472" t="n">
        <v>0.0908058801355619</v>
      </c>
      <c r="J23" s="472" t="n">
        <v>0.355133211358658</v>
      </c>
      <c r="K23" s="472" t="n">
        <v>0.050672</v>
      </c>
      <c r="L23" s="472" t="n">
        <v>0.149818545248714</v>
      </c>
      <c r="M23" s="472" t="n">
        <v>0.082895179267255</v>
      </c>
      <c r="N23" s="473" t="n">
        <v>1.44694636919638</v>
      </c>
      <c r="O23" s="473" t="n">
        <v>3.23177769600938</v>
      </c>
      <c r="P23" s="473" t="n">
        <v>16.8186701282199</v>
      </c>
      <c r="Q23" s="473" t="n">
        <v>21.145401988792</v>
      </c>
      <c r="R23" s="473" t="n">
        <v>5.4556033444932</v>
      </c>
      <c r="S23" s="473" t="n">
        <v>42.7475702873854</v>
      </c>
      <c r="T23" s="472" t="n">
        <v>0.225585229969521</v>
      </c>
      <c r="U23" s="472" t="n">
        <v>0.0553646283836585</v>
      </c>
      <c r="V23" s="472" t="n">
        <v>0.0661631208436389</v>
      </c>
      <c r="W23" s="472" t="n">
        <v>0.630076130958916</v>
      </c>
      <c r="X23" s="472" t="n">
        <v>0.228556568268081</v>
      </c>
      <c r="Y23" s="472" t="n">
        <v>0.334926097944291</v>
      </c>
      <c r="Z23" s="472" t="n">
        <v>0.334926097944291</v>
      </c>
      <c r="AA23" s="474" t="n">
        <v>0.152194665513734</v>
      </c>
    </row>
    <row r="24" customFormat="false" ht="13.5" hidden="false" customHeight="true" outlineLevel="0" collapsed="false">
      <c r="A24" s="471" t="s">
        <v>1102</v>
      </c>
      <c r="B24" s="263" t="n">
        <v>20</v>
      </c>
      <c r="C24" s="472" t="n">
        <v>0.08903</v>
      </c>
      <c r="D24" s="472" t="n">
        <v>0.227293266596597</v>
      </c>
      <c r="E24" s="472" t="n">
        <v>0.148213565571115</v>
      </c>
      <c r="F24" s="472" t="n">
        <v>0.175566745571329</v>
      </c>
      <c r="G24" s="473" t="n">
        <v>0.843096264668288</v>
      </c>
      <c r="H24" s="473" t="n">
        <v>0.880955176110519</v>
      </c>
      <c r="I24" s="472" t="n">
        <v>0.0787906008545292</v>
      </c>
      <c r="J24" s="472" t="n">
        <v>0.284117235825497</v>
      </c>
      <c r="K24" s="472" t="n">
        <v>0.047306</v>
      </c>
      <c r="L24" s="472" t="n">
        <v>0.13459401557147</v>
      </c>
      <c r="M24" s="472" t="n">
        <v>0.0729611858716972</v>
      </c>
      <c r="N24" s="473" t="n">
        <v>0.676059005857545</v>
      </c>
      <c r="O24" s="473" t="n">
        <v>3.08014496854437</v>
      </c>
      <c r="P24" s="473" t="n">
        <v>11.4154620948499</v>
      </c>
      <c r="Q24" s="473" t="n">
        <v>13.4864705888765</v>
      </c>
      <c r="R24" s="473" t="n">
        <v>1.78295416577319</v>
      </c>
      <c r="S24" s="473" t="n">
        <v>15.7310037769029</v>
      </c>
      <c r="T24" s="472" t="n">
        <v>0.00773622639090159</v>
      </c>
      <c r="U24" s="472" t="n">
        <v>0.0503931382801864</v>
      </c>
      <c r="V24" s="472" t="n">
        <v>0.0231585881362114</v>
      </c>
      <c r="W24" s="472" t="n">
        <v>0.182656287017692</v>
      </c>
      <c r="X24" s="472" t="n">
        <v>0.113732441357448</v>
      </c>
      <c r="Y24" s="472" t="n">
        <v>0.0658824109424172</v>
      </c>
      <c r="Z24" s="472" t="n">
        <v>0.0658824109424172</v>
      </c>
      <c r="AA24" s="474" t="n">
        <v>0.228332830657039</v>
      </c>
    </row>
    <row r="25" customFormat="false" ht="13.5" hidden="false" customHeight="true" outlineLevel="0" collapsed="false">
      <c r="A25" s="471" t="s">
        <v>1103</v>
      </c>
      <c r="B25" s="263" t="n">
        <v>496</v>
      </c>
      <c r="C25" s="472" t="n">
        <v>0.289267777777778</v>
      </c>
      <c r="D25" s="472" t="n">
        <v>0.0897332100899105</v>
      </c>
      <c r="E25" s="472" t="n">
        <v>0.0352537432655856</v>
      </c>
      <c r="F25" s="472" t="n">
        <v>0.15753957455086</v>
      </c>
      <c r="G25" s="473" t="n">
        <v>1.07945386516834</v>
      </c>
      <c r="H25" s="473" t="n">
        <v>1.13526503254886</v>
      </c>
      <c r="I25" s="472" t="n">
        <v>0.090132820451679</v>
      </c>
      <c r="J25" s="472" t="n">
        <v>0.756797980388065</v>
      </c>
      <c r="K25" s="472" t="n">
        <v>0.060195</v>
      </c>
      <c r="L25" s="472" t="n">
        <v>0.115355936991253</v>
      </c>
      <c r="M25" s="472" t="n">
        <v>0.0849433524652026</v>
      </c>
      <c r="N25" s="473" t="n">
        <v>0.819954826297486</v>
      </c>
      <c r="O25" s="473" t="n">
        <v>7.91804552620524</v>
      </c>
      <c r="P25" s="473" t="n">
        <v>15.7789716028124</v>
      </c>
      <c r="Q25" s="473" t="n">
        <v>68.9713213516536</v>
      </c>
      <c r="R25" s="473" t="n">
        <v>8.21686375169774</v>
      </c>
      <c r="S25" s="473" t="n">
        <v>64.2755567784317</v>
      </c>
      <c r="T25" s="472" t="n">
        <v>0.133614814172531</v>
      </c>
      <c r="U25" s="472" t="n">
        <v>0.0328630828949681</v>
      </c>
      <c r="V25" s="472" t="n">
        <v>-0.0357418048156576</v>
      </c>
      <c r="W25" s="472" t="n">
        <v>-0.45020504417501</v>
      </c>
      <c r="X25" s="472" t="n">
        <v>-0.0567224880686716</v>
      </c>
      <c r="Y25" s="472" t="n">
        <v>0.00117055520868958</v>
      </c>
      <c r="Z25" s="472" t="n">
        <v>0.00117055520868958</v>
      </c>
      <c r="AA25" s="474" t="n">
        <v>0.08953315753908</v>
      </c>
    </row>
    <row r="26" customFormat="false" ht="13.5" hidden="false" customHeight="true" outlineLevel="0" collapsed="false">
      <c r="A26" s="471" t="s">
        <v>1104</v>
      </c>
      <c r="B26" s="263" t="n">
        <v>228</v>
      </c>
      <c r="C26" s="472" t="n">
        <v>0.18446775</v>
      </c>
      <c r="D26" s="472" t="n">
        <v>0.295396999808168</v>
      </c>
      <c r="E26" s="472" t="n">
        <v>0.169495482870901</v>
      </c>
      <c r="F26" s="472" t="n">
        <v>0.168009119236464</v>
      </c>
      <c r="G26" s="473" t="n">
        <v>0.915135973481584</v>
      </c>
      <c r="H26" s="473" t="n">
        <v>0.982833098061221</v>
      </c>
      <c r="I26" s="472" t="n">
        <v>0.0833343561735305</v>
      </c>
      <c r="J26" s="472" t="n">
        <v>0.766449244064604</v>
      </c>
      <c r="K26" s="472" t="n">
        <v>0.060195</v>
      </c>
      <c r="L26" s="472" t="n">
        <v>0.126920263783265</v>
      </c>
      <c r="M26" s="472" t="n">
        <v>0.0784875116646026</v>
      </c>
      <c r="N26" s="473" t="n">
        <v>1.11165855476321</v>
      </c>
      <c r="O26" s="473" t="n">
        <v>6.23933628446954</v>
      </c>
      <c r="P26" s="473" t="n">
        <v>15.2479968084265</v>
      </c>
      <c r="Q26" s="473" t="n">
        <v>20.3231674120873</v>
      </c>
      <c r="R26" s="473" t="n">
        <v>6.64396392026399</v>
      </c>
      <c r="S26" s="473" t="n">
        <v>55.667674074615</v>
      </c>
      <c r="T26" s="472" t="n">
        <v>0.320885009738914</v>
      </c>
      <c r="U26" s="472" t="n">
        <v>0.0556830473695876</v>
      </c>
      <c r="V26" s="472" t="n">
        <v>0.0111792185719099</v>
      </c>
      <c r="W26" s="472" t="n">
        <v>0.0999739702165855</v>
      </c>
      <c r="X26" s="472" t="n">
        <v>0.240440995734327</v>
      </c>
      <c r="Y26" s="472" t="n">
        <v>0.586349920110011</v>
      </c>
      <c r="Z26" s="472" t="n">
        <v>0.586349920110011</v>
      </c>
      <c r="AA26" s="474" t="n">
        <v>0.272455087447588</v>
      </c>
    </row>
    <row r="27" customFormat="false" ht="13.5" hidden="false" customHeight="true" outlineLevel="0" collapsed="false">
      <c r="A27" s="471" t="s">
        <v>1105</v>
      </c>
      <c r="B27" s="263" t="n">
        <v>32</v>
      </c>
      <c r="C27" s="472" t="n">
        <v>0.077383125</v>
      </c>
      <c r="D27" s="472" t="n">
        <v>0.140131770134941</v>
      </c>
      <c r="E27" s="472" t="n">
        <v>0.159441539018515</v>
      </c>
      <c r="F27" s="472" t="n">
        <v>0.304366263875483</v>
      </c>
      <c r="G27" s="473" t="n">
        <v>0.719599829329938</v>
      </c>
      <c r="H27" s="473" t="n">
        <v>0.780905588861257</v>
      </c>
      <c r="I27" s="472" t="n">
        <v>0.0743283892632121</v>
      </c>
      <c r="J27" s="472" t="n">
        <v>0.472377511357322</v>
      </c>
      <c r="K27" s="472" t="n">
        <v>0.052913</v>
      </c>
      <c r="L27" s="472" t="n">
        <v>0.196003402054853</v>
      </c>
      <c r="M27" s="472" t="n">
        <v>0.0675381181080614</v>
      </c>
      <c r="N27" s="473" t="n">
        <v>1.62745354576821</v>
      </c>
      <c r="O27" s="473" t="n">
        <v>1.99021381217448</v>
      </c>
      <c r="P27" s="473" t="n">
        <v>9.26128390279208</v>
      </c>
      <c r="Q27" s="473" t="n">
        <v>14.4868779770373</v>
      </c>
      <c r="R27" s="473" t="n">
        <v>2.60328666150944</v>
      </c>
      <c r="S27" s="473" t="n">
        <v>26.9657847119661</v>
      </c>
      <c r="T27" s="472" t="n">
        <v>0.100310984744164</v>
      </c>
      <c r="U27" s="472" t="n">
        <v>0.0297243007663975</v>
      </c>
      <c r="V27" s="472" t="n">
        <v>0.00648504587962242</v>
      </c>
      <c r="W27" s="472" t="n">
        <v>0.23524495902131</v>
      </c>
      <c r="X27" s="472" t="n">
        <v>0.159048392021465</v>
      </c>
      <c r="Y27" s="472" t="n">
        <v>0.138294321128951</v>
      </c>
      <c r="Z27" s="472" t="n">
        <v>0.138294321128951</v>
      </c>
      <c r="AA27" s="474" t="n">
        <v>0.137421985674129</v>
      </c>
    </row>
    <row r="28" customFormat="false" ht="13.5" hidden="false" customHeight="true" outlineLevel="0" collapsed="false">
      <c r="A28" s="471" t="s">
        <v>637</v>
      </c>
      <c r="B28" s="263" t="n">
        <v>112</v>
      </c>
      <c r="C28" s="472" t="n">
        <v>0.191745454545455</v>
      </c>
      <c r="D28" s="472" t="n">
        <v>0.0953466710110152</v>
      </c>
      <c r="E28" s="472" t="n">
        <v>0.155956039131114</v>
      </c>
      <c r="F28" s="472" t="n">
        <v>0.251791763482778</v>
      </c>
      <c r="G28" s="473" t="n">
        <v>1.18980703180698</v>
      </c>
      <c r="H28" s="473" t="n">
        <v>1.25112385460747</v>
      </c>
      <c r="I28" s="472" t="n">
        <v>0.0953001239154931</v>
      </c>
      <c r="J28" s="472" t="n">
        <v>0.727138801617468</v>
      </c>
      <c r="K28" s="472" t="n">
        <v>0.060195</v>
      </c>
      <c r="L28" s="472" t="n">
        <v>0.107168596879469</v>
      </c>
      <c r="M28" s="472" t="n">
        <v>0.0899252036198999</v>
      </c>
      <c r="N28" s="473" t="n">
        <v>2.02952896705447</v>
      </c>
      <c r="O28" s="473" t="n">
        <v>4.42075488337302</v>
      </c>
      <c r="P28" s="473" t="n">
        <v>24.5863041334672</v>
      </c>
      <c r="Q28" s="473" t="n">
        <v>43.1933182285843</v>
      </c>
      <c r="R28" s="473" t="n">
        <v>6.50673164104564</v>
      </c>
      <c r="S28" s="473" t="n">
        <v>80.0396116593639</v>
      </c>
      <c r="T28" s="472" t="n">
        <v>0.294372463939175</v>
      </c>
      <c r="U28" s="472" t="n">
        <v>0.0477529213150547</v>
      </c>
      <c r="V28" s="472" t="n">
        <v>0.030839959025228</v>
      </c>
      <c r="W28" s="472" t="n">
        <v>0.546826997834505</v>
      </c>
      <c r="X28" s="472" t="n">
        <v>0.0152545444037303</v>
      </c>
      <c r="Y28" s="472" t="n">
        <v>2.296858140875</v>
      </c>
      <c r="Z28" s="472" t="n">
        <v>2.296858140875</v>
      </c>
      <c r="AA28" s="474" t="n">
        <v>0.0995086861234549</v>
      </c>
    </row>
    <row r="29" customFormat="false" ht="13.5" hidden="false" customHeight="true" outlineLevel="0" collapsed="false">
      <c r="A29" s="471" t="s">
        <v>1106</v>
      </c>
      <c r="B29" s="263" t="n">
        <v>8</v>
      </c>
      <c r="C29" s="472" t="n">
        <v>-0.03486</v>
      </c>
      <c r="D29" s="472" t="n">
        <v>-0.0448862156338062</v>
      </c>
      <c r="E29" s="472" t="n">
        <v>-0.0834551474050309</v>
      </c>
      <c r="F29" s="472" t="e">
        <f aca="false">#DIV/0!</f>
        <v>#DIV/0!</v>
      </c>
      <c r="G29" s="473" t="n">
        <v>0.927376612320167</v>
      </c>
      <c r="H29" s="473" t="n">
        <v>0.865978018481581</v>
      </c>
      <c r="I29" s="472" t="n">
        <v>0.0781226196242785</v>
      </c>
      <c r="J29" s="472" t="n">
        <v>0.701836134974653</v>
      </c>
      <c r="K29" s="472" t="n">
        <v>0.060195</v>
      </c>
      <c r="L29" s="472" t="n">
        <v>0.0548589527442345</v>
      </c>
      <c r="M29" s="472" t="n">
        <v>0.0763135705213838</v>
      </c>
      <c r="N29" s="473" t="n">
        <v>5.56654641045243</v>
      </c>
      <c r="O29" s="473" t="n">
        <v>0.909833485966633</v>
      </c>
      <c r="P29" s="473" t="n">
        <v>30.69739733033</v>
      </c>
      <c r="Q29" s="473" t="s">
        <v>1093</v>
      </c>
      <c r="R29" s="473" t="n">
        <v>3.85203290618573</v>
      </c>
      <c r="S29" s="473" t="e">
        <f aca="false">#DIV/0!</f>
        <v>#DIV/0!</v>
      </c>
      <c r="T29" s="472" t="n">
        <v>0.111556039688366</v>
      </c>
      <c r="U29" s="472" t="n">
        <v>0.0142962577059998</v>
      </c>
      <c r="V29" s="472" t="n">
        <v>-0.0384033878772092</v>
      </c>
      <c r="W29" s="472" t="s">
        <v>1093</v>
      </c>
      <c r="X29" s="472" t="n">
        <v>-0.288092795326437</v>
      </c>
      <c r="Y29" s="472" t="e">
        <f aca="false">#DIV/0!</f>
        <v>#DIV/0!</v>
      </c>
      <c r="Z29" s="472" t="e">
        <f aca="false">#DIV/0!</f>
        <v>#DIV/0!</v>
      </c>
      <c r="AA29" s="474" t="n">
        <v>-0.0626426939412171</v>
      </c>
    </row>
    <row r="30" customFormat="false" ht="13.5" hidden="false" customHeight="true" outlineLevel="0" collapsed="false">
      <c r="A30" s="471" t="s">
        <v>781</v>
      </c>
      <c r="B30" s="263" t="n">
        <v>114</v>
      </c>
      <c r="C30" s="472" t="n">
        <v>0.0726830263157895</v>
      </c>
      <c r="D30" s="472" t="n">
        <v>0.104231778137847</v>
      </c>
      <c r="E30" s="472" t="n">
        <v>0.179117254052582</v>
      </c>
      <c r="F30" s="472" t="n">
        <v>0.203221797882848</v>
      </c>
      <c r="G30" s="473" t="n">
        <v>0.937454559585455</v>
      </c>
      <c r="H30" s="473" t="n">
        <v>0.971477130798794</v>
      </c>
      <c r="I30" s="472" t="n">
        <v>0.0828278800336262</v>
      </c>
      <c r="J30" s="472" t="n">
        <v>0.518387852474899</v>
      </c>
      <c r="K30" s="472" t="n">
        <v>0.052913</v>
      </c>
      <c r="L30" s="472" t="n">
        <v>0.0991945883733332</v>
      </c>
      <c r="M30" s="472" t="n">
        <v>0.0785483150088035</v>
      </c>
      <c r="N30" s="473" t="n">
        <v>2.38349429032403</v>
      </c>
      <c r="O30" s="473" t="n">
        <v>3.20616277685379</v>
      </c>
      <c r="P30" s="473" t="n">
        <v>19.9911424897979</v>
      </c>
      <c r="Q30" s="473" t="n">
        <v>29.7566915938091</v>
      </c>
      <c r="R30" s="473" t="n">
        <v>4.96896769152242</v>
      </c>
      <c r="S30" s="473" t="n">
        <v>48.4433519460729</v>
      </c>
      <c r="T30" s="472" t="n">
        <v>0.209177121012277</v>
      </c>
      <c r="U30" s="472" t="n">
        <v>0.0330418818222825</v>
      </c>
      <c r="V30" s="472" t="n">
        <v>0.056801346628432</v>
      </c>
      <c r="W30" s="472" t="n">
        <v>0.771764955437115</v>
      </c>
      <c r="X30" s="472" t="n">
        <v>0.126157307562756</v>
      </c>
      <c r="Y30" s="472" t="n">
        <v>0.198774811280125</v>
      </c>
      <c r="Z30" s="472" t="n">
        <v>0.198774811280125</v>
      </c>
      <c r="AA30" s="474" t="n">
        <v>0.10606521971463</v>
      </c>
    </row>
    <row r="31" customFormat="false" ht="13.5" hidden="false" customHeight="true" outlineLevel="0" collapsed="false">
      <c r="A31" s="471" t="s">
        <v>1107</v>
      </c>
      <c r="B31" s="263" t="n">
        <v>48</v>
      </c>
      <c r="C31" s="472" t="n">
        <v>0.117011071428571</v>
      </c>
      <c r="D31" s="472" t="n">
        <v>0.0648772140059397</v>
      </c>
      <c r="E31" s="472" t="n">
        <v>0.253176034758219</v>
      </c>
      <c r="F31" s="472" t="n">
        <v>0.239481174020308</v>
      </c>
      <c r="G31" s="473" t="n">
        <v>1.13743678369375</v>
      </c>
      <c r="H31" s="473" t="n">
        <v>1.20997226113512</v>
      </c>
      <c r="I31" s="472" t="n">
        <v>0.0934647628466261</v>
      </c>
      <c r="J31" s="472" t="n">
        <v>0.459236463171338</v>
      </c>
      <c r="K31" s="472" t="n">
        <v>0.052913</v>
      </c>
      <c r="L31" s="472" t="n">
        <v>0.122895307793852</v>
      </c>
      <c r="M31" s="472" t="n">
        <v>0.0868554516146827</v>
      </c>
      <c r="N31" s="473" t="n">
        <v>4.36144866371564</v>
      </c>
      <c r="O31" s="473" t="n">
        <v>1.73504314978352</v>
      </c>
      <c r="P31" s="473" t="n">
        <v>17.1794362685094</v>
      </c>
      <c r="Q31" s="473" t="n">
        <v>25.1712220940126</v>
      </c>
      <c r="R31" s="473" t="n">
        <v>5.49046865935612</v>
      </c>
      <c r="S31" s="473" t="n">
        <v>63.3320487509956</v>
      </c>
      <c r="T31" s="472" t="n">
        <v>0.1937659510784</v>
      </c>
      <c r="U31" s="472" t="n">
        <v>0.0223270879899879</v>
      </c>
      <c r="V31" s="472" t="n">
        <v>0.0484666697043258</v>
      </c>
      <c r="W31" s="472" t="n">
        <v>1.12440047749564</v>
      </c>
      <c r="X31" s="472" t="n">
        <v>0.261374995053517</v>
      </c>
      <c r="Y31" s="472" t="n">
        <v>0.0832954332660147</v>
      </c>
      <c r="Z31" s="472" t="n">
        <v>0.0832954332660147</v>
      </c>
      <c r="AA31" s="474" t="n">
        <v>0.0675701555947608</v>
      </c>
    </row>
    <row r="32" customFormat="false" ht="13.5" hidden="false" customHeight="true" outlineLevel="0" collapsed="false">
      <c r="A32" s="471" t="s">
        <v>639</v>
      </c>
      <c r="B32" s="263" t="n">
        <v>92</v>
      </c>
      <c r="C32" s="472" t="n">
        <v>0.164307878787879</v>
      </c>
      <c r="D32" s="472" t="n">
        <v>0.1060478521865</v>
      </c>
      <c r="E32" s="472" t="n">
        <v>0.124205998010846</v>
      </c>
      <c r="F32" s="472" t="n">
        <v>0.126047251442046</v>
      </c>
      <c r="G32" s="473" t="n">
        <v>0.762846830783095</v>
      </c>
      <c r="H32" s="473" t="n">
        <v>0.825169637265244</v>
      </c>
      <c r="I32" s="472" t="n">
        <v>0.0763025658220299</v>
      </c>
      <c r="J32" s="472" t="n">
        <v>0.487065902088105</v>
      </c>
      <c r="K32" s="472" t="n">
        <v>0.052913</v>
      </c>
      <c r="L32" s="472" t="n">
        <v>0.137290409967724</v>
      </c>
      <c r="M32" s="472" t="n">
        <v>0.0712752908757008</v>
      </c>
      <c r="N32" s="473" t="n">
        <v>1.39140593885757</v>
      </c>
      <c r="O32" s="473" t="n">
        <v>4.33382465792971</v>
      </c>
      <c r="P32" s="473" t="n">
        <v>19.4112627001305</v>
      </c>
      <c r="Q32" s="473" t="n">
        <v>38.9195610227787</v>
      </c>
      <c r="R32" s="473" t="n">
        <v>4.79810150104805</v>
      </c>
      <c r="S32" s="473" t="n">
        <v>108.630593464584</v>
      </c>
      <c r="T32" s="472" t="n">
        <v>0.00490505051675903</v>
      </c>
      <c r="U32" s="472" t="n">
        <v>0.0471395280659126</v>
      </c>
      <c r="V32" s="472" t="n">
        <v>-0.0125262444210363</v>
      </c>
      <c r="W32" s="472" t="n">
        <v>-0.155512472540895</v>
      </c>
      <c r="X32" s="472" t="n">
        <v>0.0609276311137784</v>
      </c>
      <c r="Y32" s="472" t="n">
        <v>0.228787580580603</v>
      </c>
      <c r="Z32" s="472" t="n">
        <v>0.228787580580603</v>
      </c>
      <c r="AA32" s="474" t="n">
        <v>0.106002180528468</v>
      </c>
    </row>
    <row r="33" customFormat="false" ht="13.5" hidden="false" customHeight="true" outlineLevel="0" collapsed="false">
      <c r="A33" s="471" t="s">
        <v>1108</v>
      </c>
      <c r="B33" s="263" t="n">
        <v>53</v>
      </c>
      <c r="C33" s="472" t="n">
        <v>0.217021739130435</v>
      </c>
      <c r="D33" s="472" t="n">
        <v>0.146085563073154</v>
      </c>
      <c r="E33" s="472" t="n">
        <v>0.317547965383847</v>
      </c>
      <c r="F33" s="472" t="n">
        <v>0.209164450442583</v>
      </c>
      <c r="G33" s="473" t="n">
        <v>0.824769095634497</v>
      </c>
      <c r="H33" s="473" t="n">
        <v>0.945481298237759</v>
      </c>
      <c r="I33" s="472" t="n">
        <v>0.081668465901404</v>
      </c>
      <c r="J33" s="472" t="n">
        <v>0.549127170997353</v>
      </c>
      <c r="K33" s="472" t="n">
        <v>0.052913</v>
      </c>
      <c r="L33" s="472" t="n">
        <v>0.176598712315296</v>
      </c>
      <c r="M33" s="472" t="n">
        <v>0.0742541957350049</v>
      </c>
      <c r="N33" s="473" t="n">
        <v>2.29985091030874</v>
      </c>
      <c r="O33" s="473" t="n">
        <v>3.70067500730186</v>
      </c>
      <c r="P33" s="473" t="n">
        <v>15.6130786735146</v>
      </c>
      <c r="Q33" s="473" t="n">
        <v>24.8266551383179</v>
      </c>
      <c r="R33" s="473" t="n">
        <v>6.58545852398458</v>
      </c>
      <c r="S33" s="473" t="n">
        <v>66.5495658805646</v>
      </c>
      <c r="T33" s="472" t="n">
        <v>0.100387184067308</v>
      </c>
      <c r="U33" s="472" t="n">
        <v>0.0827817483868516</v>
      </c>
      <c r="V33" s="472" t="n">
        <v>0.134384029497542</v>
      </c>
      <c r="W33" s="472" t="n">
        <v>1.21401928267515</v>
      </c>
      <c r="X33" s="472" t="n">
        <v>0.197382959486919</v>
      </c>
      <c r="Y33" s="472" t="n">
        <v>0.398023826178585</v>
      </c>
      <c r="Z33" s="472" t="n">
        <v>0.398023826178585</v>
      </c>
      <c r="AA33" s="474" t="n">
        <v>0.148530814081221</v>
      </c>
    </row>
    <row r="34" customFormat="false" ht="13.5" hidden="false" customHeight="true" outlineLevel="0" collapsed="false">
      <c r="A34" s="471" t="s">
        <v>1109</v>
      </c>
      <c r="B34" s="263" t="n">
        <v>35</v>
      </c>
      <c r="C34" s="472" t="n">
        <v>0.140219523809524</v>
      </c>
      <c r="D34" s="472" t="n">
        <v>0.0544531870391275</v>
      </c>
      <c r="E34" s="472" t="n">
        <v>0.0727794293479267</v>
      </c>
      <c r="F34" s="472" t="n">
        <v>0.203409633316476</v>
      </c>
      <c r="G34" s="473" t="n">
        <v>0.845783674602209</v>
      </c>
      <c r="H34" s="473" t="n">
        <v>1.12917374094564</v>
      </c>
      <c r="I34" s="472" t="n">
        <v>0.0898611488461754</v>
      </c>
      <c r="J34" s="472" t="n">
        <v>0.507938158066483</v>
      </c>
      <c r="K34" s="472" t="n">
        <v>0.052913</v>
      </c>
      <c r="L34" s="472" t="n">
        <v>0.341448869716152</v>
      </c>
      <c r="M34" s="472" t="n">
        <v>0.072728474173722</v>
      </c>
      <c r="N34" s="473" t="n">
        <v>1.47943456122464</v>
      </c>
      <c r="O34" s="473" t="n">
        <v>1.34015048233611</v>
      </c>
      <c r="P34" s="473" t="n">
        <v>16.0376994749036</v>
      </c>
      <c r="Q34" s="473" t="n">
        <v>23.7356763464718</v>
      </c>
      <c r="R34" s="473" t="n">
        <v>2.42286695192029</v>
      </c>
      <c r="S34" s="473" t="n">
        <v>19.1159894130557</v>
      </c>
      <c r="T34" s="472" t="n">
        <v>0.17273412165747</v>
      </c>
      <c r="U34" s="472" t="n">
        <v>0.0384376847023749</v>
      </c>
      <c r="V34" s="472" t="n">
        <v>0.0365815929953017</v>
      </c>
      <c r="W34" s="472" t="n">
        <v>0.526121887120092</v>
      </c>
      <c r="X34" s="472" t="n">
        <v>0.120402592130905</v>
      </c>
      <c r="Y34" s="472" t="n">
        <v>0.414421872897931</v>
      </c>
      <c r="Z34" s="472" t="n">
        <v>0.414421872897931</v>
      </c>
      <c r="AA34" s="474" t="n">
        <v>0.0560337124042277</v>
      </c>
    </row>
    <row r="35" customFormat="false" ht="13.5" hidden="false" customHeight="true" outlineLevel="0" collapsed="false">
      <c r="A35" s="471" t="s">
        <v>1110</v>
      </c>
      <c r="B35" s="263" t="n">
        <v>176</v>
      </c>
      <c r="C35" s="472" t="n">
        <v>0.112979444444444</v>
      </c>
      <c r="D35" s="472" t="n">
        <v>0.184838674392496</v>
      </c>
      <c r="E35" s="472" t="s">
        <v>1093</v>
      </c>
      <c r="F35" s="472" t="n">
        <v>0.193085703735251</v>
      </c>
      <c r="G35" s="473" t="n">
        <v>0.327708386847594</v>
      </c>
      <c r="H35" s="473" t="n">
        <v>0.969713242744491</v>
      </c>
      <c r="I35" s="472" t="n">
        <v>0.0827492106264043</v>
      </c>
      <c r="J35" s="472" t="n">
        <v>0.424691921477404</v>
      </c>
      <c r="K35" s="472" t="n">
        <v>0.050672</v>
      </c>
      <c r="L35" s="472" t="n">
        <v>0.73127668097896</v>
      </c>
      <c r="M35" s="472" t="n">
        <v>0.0500280815098229</v>
      </c>
      <c r="N35" s="473" t="n">
        <v>0.0708558455698483</v>
      </c>
      <c r="O35" s="473" t="n">
        <v>18.9059051763244</v>
      </c>
      <c r="P35" s="473" t="n">
        <v>57.5235597336611</v>
      </c>
      <c r="Q35" s="473" t="n">
        <v>69.3963708178762</v>
      </c>
      <c r="R35" s="473" t="n">
        <v>3.66092277690898</v>
      </c>
      <c r="S35" s="473" t="n">
        <v>26.1383896545427</v>
      </c>
      <c r="T35" s="472" t="n">
        <v>11.859985918166</v>
      </c>
      <c r="U35" s="472" t="n">
        <v>0.0298546286689582</v>
      </c>
      <c r="V35" s="472" t="n">
        <v>0.023802865677336</v>
      </c>
      <c r="W35" s="472" t="n">
        <v>0.141410475443302</v>
      </c>
      <c r="X35" s="472" t="n">
        <v>0.288173181538494</v>
      </c>
      <c r="Y35" s="472" t="n">
        <v>0.185240814104852</v>
      </c>
      <c r="Z35" s="472" t="n">
        <v>0.185240814104852</v>
      </c>
      <c r="AA35" s="474" t="n">
        <v>0.187392944011187</v>
      </c>
    </row>
    <row r="36" customFormat="false" ht="13.5" hidden="false" customHeight="true" outlineLevel="0" collapsed="false">
      <c r="A36" s="471" t="s">
        <v>642</v>
      </c>
      <c r="B36" s="263" t="n">
        <v>78</v>
      </c>
      <c r="C36" s="472" t="n">
        <v>0.0715802173913044</v>
      </c>
      <c r="D36" s="472" t="n">
        <v>0.106306981098628</v>
      </c>
      <c r="E36" s="472" t="n">
        <v>0.159497072149234</v>
      </c>
      <c r="F36" s="472" t="n">
        <v>0.228097252672575</v>
      </c>
      <c r="G36" s="473" t="n">
        <v>0.469423776770759</v>
      </c>
      <c r="H36" s="473" t="n">
        <v>0.607453037800358</v>
      </c>
      <c r="I36" s="472" t="n">
        <v>0.066592405485896</v>
      </c>
      <c r="J36" s="472" t="n">
        <v>0.434676394325705</v>
      </c>
      <c r="K36" s="472" t="n">
        <v>0.050672</v>
      </c>
      <c r="L36" s="472" t="n">
        <v>0.304269700410458</v>
      </c>
      <c r="M36" s="472" t="n">
        <v>0.0578938199134897</v>
      </c>
      <c r="N36" s="473" t="n">
        <v>1.70919896110206</v>
      </c>
      <c r="O36" s="473" t="n">
        <v>1.46831572548552</v>
      </c>
      <c r="P36" s="473" t="n">
        <v>10.0119749384732</v>
      </c>
      <c r="Q36" s="473" t="n">
        <v>13.6052112905583</v>
      </c>
      <c r="R36" s="473" t="n">
        <v>1.79589378884787</v>
      </c>
      <c r="S36" s="473" t="n">
        <v>47.9681263441322</v>
      </c>
      <c r="T36" s="472" t="n">
        <v>0.0667734918374279</v>
      </c>
      <c r="U36" s="472" t="n">
        <v>0.0330095601202175</v>
      </c>
      <c r="V36" s="472" t="n">
        <v>0.0228669392966302</v>
      </c>
      <c r="W36" s="472" t="n">
        <v>0.327725730488367</v>
      </c>
      <c r="X36" s="472" t="n">
        <v>0.0460411920440677</v>
      </c>
      <c r="Y36" s="472" t="n">
        <v>1.43111100498527</v>
      </c>
      <c r="Z36" s="472" t="n">
        <v>1.43111100498527</v>
      </c>
      <c r="AA36" s="474" t="n">
        <v>0.107376509050571</v>
      </c>
    </row>
    <row r="37" customFormat="false" ht="13.5" hidden="false" customHeight="true" outlineLevel="0" collapsed="false">
      <c r="A37" s="471" t="s">
        <v>643</v>
      </c>
      <c r="B37" s="263" t="n">
        <v>13</v>
      </c>
      <c r="C37" s="472" t="n">
        <v>0.132766666666667</v>
      </c>
      <c r="D37" s="472" t="n">
        <v>0.0261348864674025</v>
      </c>
      <c r="E37" s="472" t="n">
        <v>0.17837019301943</v>
      </c>
      <c r="F37" s="472" t="n">
        <v>0.236761027955467</v>
      </c>
      <c r="G37" s="473" t="n">
        <v>0.647759814167852</v>
      </c>
      <c r="H37" s="473" t="n">
        <v>0.866641638658665</v>
      </c>
      <c r="I37" s="472" t="n">
        <v>0.0781522170841765</v>
      </c>
      <c r="J37" s="472" t="n">
        <v>0.339782241543599</v>
      </c>
      <c r="K37" s="472" t="n">
        <v>0.050672</v>
      </c>
      <c r="L37" s="472" t="n">
        <v>0.319582324669073</v>
      </c>
      <c r="M37" s="472" t="n">
        <v>0.0653215565370967</v>
      </c>
      <c r="N37" s="473" t="n">
        <v>7.71290958731778</v>
      </c>
      <c r="O37" s="473" t="n">
        <v>0.456852048513644</v>
      </c>
      <c r="P37" s="473" t="n">
        <v>11.0752522320418</v>
      </c>
      <c r="Q37" s="473" t="n">
        <v>17.9444830029721</v>
      </c>
      <c r="R37" s="473" t="n">
        <v>4.87855482612256</v>
      </c>
      <c r="S37" s="473" t="n">
        <v>26.8028930835912</v>
      </c>
      <c r="T37" s="472" t="n">
        <v>0.0562300304070393</v>
      </c>
      <c r="U37" s="472" t="n">
        <v>0.0100654590718356</v>
      </c>
      <c r="V37" s="472" t="n">
        <v>0.015039535872964</v>
      </c>
      <c r="W37" s="472" t="n">
        <v>0.813377801693401</v>
      </c>
      <c r="X37" s="472" t="n">
        <v>0.182207245110667</v>
      </c>
      <c r="Y37" s="472" t="n">
        <v>0.380747364353922</v>
      </c>
      <c r="Z37" s="472" t="n">
        <v>0.380747364353922</v>
      </c>
      <c r="AA37" s="474" t="n">
        <v>0.025456148145276</v>
      </c>
    </row>
    <row r="38" customFormat="false" ht="13.5" hidden="false" customHeight="true" outlineLevel="0" collapsed="false">
      <c r="A38" s="471" t="s">
        <v>1111</v>
      </c>
      <c r="B38" s="263" t="n">
        <v>27</v>
      </c>
      <c r="C38" s="472" t="n">
        <v>0.00987380952380953</v>
      </c>
      <c r="D38" s="472" t="n">
        <v>0.0658566185848798</v>
      </c>
      <c r="E38" s="472" t="n">
        <v>0.105874289126598</v>
      </c>
      <c r="F38" s="472" t="n">
        <v>0.290776573894677</v>
      </c>
      <c r="G38" s="473" t="n">
        <v>0.652130370440093</v>
      </c>
      <c r="H38" s="473" t="n">
        <v>0.823158474001708</v>
      </c>
      <c r="I38" s="472" t="n">
        <v>0.0762128679404762</v>
      </c>
      <c r="J38" s="472" t="n">
        <v>0.515098627398118</v>
      </c>
      <c r="K38" s="472" t="n">
        <v>0.052913</v>
      </c>
      <c r="L38" s="472" t="n">
        <v>0.297424091127933</v>
      </c>
      <c r="M38" s="472" t="n">
        <v>0.0653485256614161</v>
      </c>
      <c r="N38" s="473" t="n">
        <v>1.95854412717131</v>
      </c>
      <c r="O38" s="473" t="n">
        <v>1.33279900965649</v>
      </c>
      <c r="P38" s="473" t="n">
        <v>11.2738195501143</v>
      </c>
      <c r="Q38" s="473" t="n">
        <v>19.1451404951914</v>
      </c>
      <c r="R38" s="473" t="n">
        <v>2.45318849933426</v>
      </c>
      <c r="S38" s="473" t="n">
        <v>17.3835246839506</v>
      </c>
      <c r="T38" s="472" t="n">
        <v>0.157303168482379</v>
      </c>
      <c r="U38" s="472" t="n">
        <v>0.0245138538480015</v>
      </c>
      <c r="V38" s="472" t="n">
        <v>0.0587710488929769</v>
      </c>
      <c r="W38" s="472" t="n">
        <v>1.40063277599507</v>
      </c>
      <c r="X38" s="472" t="n">
        <v>0.0310741507730321</v>
      </c>
      <c r="Y38" s="472" t="n">
        <v>1.08122220889957</v>
      </c>
      <c r="Z38" s="472" t="n">
        <v>1.08122220889957</v>
      </c>
      <c r="AA38" s="474" t="n">
        <v>0.0679997441994743</v>
      </c>
    </row>
    <row r="39" customFormat="false" ht="13.5" hidden="false" customHeight="true" outlineLevel="0" collapsed="false">
      <c r="A39" s="471" t="s">
        <v>1112</v>
      </c>
      <c r="B39" s="263" t="n">
        <v>15</v>
      </c>
      <c r="C39" s="472" t="n">
        <v>0.17102</v>
      </c>
      <c r="D39" s="472" t="n">
        <v>0.198726032681626</v>
      </c>
      <c r="E39" s="472" t="n">
        <v>0.0363674160941794</v>
      </c>
      <c r="F39" s="472" t="n">
        <v>0</v>
      </c>
      <c r="G39" s="473" t="n">
        <v>0.472284167653616</v>
      </c>
      <c r="H39" s="473" t="n">
        <v>0.856329518705454</v>
      </c>
      <c r="I39" s="472" t="n">
        <v>0.0776922965342632</v>
      </c>
      <c r="J39" s="472" t="n">
        <v>0.651434007537738</v>
      </c>
      <c r="K39" s="472" t="n">
        <v>0.060195</v>
      </c>
      <c r="L39" s="472" t="n">
        <v>0.530757898202394</v>
      </c>
      <c r="M39" s="472" t="n">
        <v>0.0604182252809404</v>
      </c>
      <c r="N39" s="473" t="n">
        <v>0.197994842891249</v>
      </c>
      <c r="O39" s="473" t="n">
        <v>7.86569296959915</v>
      </c>
      <c r="P39" s="473" t="n">
        <v>13.4437168082171</v>
      </c>
      <c r="Q39" s="473" t="n">
        <v>42.6255683732797</v>
      </c>
      <c r="R39" s="473" t="n">
        <v>1.26286601127332</v>
      </c>
      <c r="S39" s="473" t="n">
        <v>32.2495939530235</v>
      </c>
      <c r="T39" s="472" t="n">
        <v>-1.14291147412977</v>
      </c>
      <c r="U39" s="472" t="n">
        <v>0.318956853775695</v>
      </c>
      <c r="V39" s="472" t="n">
        <v>0.0900737231185094</v>
      </c>
      <c r="W39" s="472" t="n">
        <v>0.638196132228314</v>
      </c>
      <c r="X39" s="472" t="n">
        <v>-0.0735713716131615</v>
      </c>
      <c r="Y39" s="472" t="n">
        <v>0.001289980009995</v>
      </c>
      <c r="Z39" s="472" t="n">
        <v>0.00128998000999503</v>
      </c>
      <c r="AA39" s="474" t="n">
        <v>0.183797369204002</v>
      </c>
    </row>
    <row r="40" customFormat="false" ht="13.5" hidden="false" customHeight="true" outlineLevel="0" collapsed="false">
      <c r="A40" s="471" t="s">
        <v>1113</v>
      </c>
      <c r="B40" s="263" t="n">
        <v>204</v>
      </c>
      <c r="C40" s="472" t="n">
        <v>0.18410674796748</v>
      </c>
      <c r="D40" s="472" t="n">
        <v>0.153389970224869</v>
      </c>
      <c r="E40" s="472" t="n">
        <v>0.169807786355746</v>
      </c>
      <c r="F40" s="472" t="n">
        <v>0.127740237067208</v>
      </c>
      <c r="G40" s="473" t="n">
        <v>0.856947795866152</v>
      </c>
      <c r="H40" s="473" t="n">
        <v>0.908561135070494</v>
      </c>
      <c r="I40" s="472" t="n">
        <v>0.0800218266241441</v>
      </c>
      <c r="J40" s="472" t="n">
        <v>0.617905899541294</v>
      </c>
      <c r="K40" s="472" t="n">
        <v>0.052913</v>
      </c>
      <c r="L40" s="472" t="n">
        <v>0.113358517954392</v>
      </c>
      <c r="M40" s="472" t="n">
        <v>0.0754492753994183</v>
      </c>
      <c r="N40" s="473" t="n">
        <v>1.47695048976004</v>
      </c>
      <c r="O40" s="473" t="n">
        <v>4.76260076039751</v>
      </c>
      <c r="P40" s="473" t="n">
        <v>19.7780365768709</v>
      </c>
      <c r="Q40" s="473" t="n">
        <v>29.9892754588435</v>
      </c>
      <c r="R40" s="473" t="n">
        <v>4.4351038092908</v>
      </c>
      <c r="S40" s="473" t="n">
        <v>43.0651627002982</v>
      </c>
      <c r="T40" s="472" t="n">
        <v>0.256525915255992</v>
      </c>
      <c r="U40" s="472" t="n">
        <v>0.039885897606863</v>
      </c>
      <c r="V40" s="472" t="n">
        <v>0.0452663005297002</v>
      </c>
      <c r="W40" s="472" t="n">
        <v>0.459936291549387</v>
      </c>
      <c r="X40" s="472" t="n">
        <v>0.112600036422819</v>
      </c>
      <c r="Y40" s="472" t="n">
        <v>0.356407077554378</v>
      </c>
      <c r="Z40" s="472" t="n">
        <v>0.356407077554378</v>
      </c>
      <c r="AA40" s="474" t="n">
        <v>0.158298371692962</v>
      </c>
    </row>
    <row r="41" customFormat="false" ht="13.5" hidden="false" customHeight="true" outlineLevel="0" collapsed="false">
      <c r="A41" s="471" t="s">
        <v>1114</v>
      </c>
      <c r="B41" s="263" t="n">
        <v>104</v>
      </c>
      <c r="C41" s="472" t="n">
        <v>0.1312175</v>
      </c>
      <c r="D41" s="472" t="n">
        <v>0.0299840587880442</v>
      </c>
      <c r="E41" s="472" t="n">
        <v>0.31192966548468</v>
      </c>
      <c r="F41" s="472" t="n">
        <v>0.229954004426044</v>
      </c>
      <c r="G41" s="473" t="n">
        <v>0.744875057473969</v>
      </c>
      <c r="H41" s="473" t="n">
        <v>0.871953887339933</v>
      </c>
      <c r="I41" s="472" t="n">
        <v>0.078389143375361</v>
      </c>
      <c r="J41" s="472" t="n">
        <v>0.47240032307194</v>
      </c>
      <c r="K41" s="472" t="n">
        <v>0.052913</v>
      </c>
      <c r="L41" s="472" t="n">
        <v>0.261585641183616</v>
      </c>
      <c r="M41" s="472" t="n">
        <v>0.0682646298176443</v>
      </c>
      <c r="N41" s="473" t="n">
        <v>11.7466274433648</v>
      </c>
      <c r="O41" s="473" t="n">
        <v>0.457783313626175</v>
      </c>
      <c r="P41" s="473" t="n">
        <v>11.1688250223679</v>
      </c>
      <c r="Q41" s="473" t="n">
        <v>15.0220495559004</v>
      </c>
      <c r="R41" s="473" t="n">
        <v>2.79557215692838</v>
      </c>
      <c r="S41" s="473" t="n">
        <v>83.7666088261665</v>
      </c>
      <c r="T41" s="472" t="n">
        <v>-0.0578783680238732</v>
      </c>
      <c r="U41" s="472" t="n">
        <v>0.00564540738203814</v>
      </c>
      <c r="V41" s="472" t="n">
        <v>0.00865684772676265</v>
      </c>
      <c r="W41" s="472" t="n">
        <v>0.507146071863853</v>
      </c>
      <c r="X41" s="472" t="n">
        <v>0.098917912885419</v>
      </c>
      <c r="Y41" s="472" t="n">
        <v>0.493692599697104</v>
      </c>
      <c r="Z41" s="472" t="n">
        <v>0.493692599697104</v>
      </c>
      <c r="AA41" s="474" t="n">
        <v>0.0300528704268714</v>
      </c>
    </row>
    <row r="42" customFormat="false" ht="13.5" hidden="false" customHeight="true" outlineLevel="0" collapsed="false">
      <c r="A42" s="471" t="s">
        <v>1115</v>
      </c>
      <c r="B42" s="263" t="n">
        <v>115</v>
      </c>
      <c r="C42" s="472" t="n">
        <v>0.155735303030303</v>
      </c>
      <c r="D42" s="472" t="n">
        <v>0.147094855882355</v>
      </c>
      <c r="E42" s="472" t="n">
        <v>0.137167833481133</v>
      </c>
      <c r="F42" s="472" t="n">
        <v>0.150966649711116</v>
      </c>
      <c r="G42" s="473" t="n">
        <v>1.01632503262834</v>
      </c>
      <c r="H42" s="473" t="n">
        <v>1.10833389914814</v>
      </c>
      <c r="I42" s="472" t="n">
        <v>0.0889316919020072</v>
      </c>
      <c r="J42" s="472" t="n">
        <v>0.637800212244447</v>
      </c>
      <c r="K42" s="472" t="n">
        <v>0.052913</v>
      </c>
      <c r="L42" s="472" t="n">
        <v>0.136004500350599</v>
      </c>
      <c r="M42" s="472" t="n">
        <v>0.0822338861748298</v>
      </c>
      <c r="N42" s="473" t="n">
        <v>1.24569906969673</v>
      </c>
      <c r="O42" s="473" t="n">
        <v>5.30918842135801</v>
      </c>
      <c r="P42" s="473" t="n">
        <v>21.2721271581124</v>
      </c>
      <c r="Q42" s="473" t="n">
        <v>34.7621607960374</v>
      </c>
      <c r="R42" s="473" t="n">
        <v>4.00223856046035</v>
      </c>
      <c r="S42" s="473" t="n">
        <v>506.546868702116</v>
      </c>
      <c r="T42" s="472" t="n">
        <v>0.235275859002591</v>
      </c>
      <c r="U42" s="472" t="n">
        <v>0.0389326290853337</v>
      </c>
      <c r="V42" s="472" t="n">
        <v>0.00921579482458416</v>
      </c>
      <c r="W42" s="472" t="n">
        <v>0.121166681885459</v>
      </c>
      <c r="X42" s="472" t="n">
        <v>0.0639736370327422</v>
      </c>
      <c r="Y42" s="472" t="n">
        <v>0.168493188635517</v>
      </c>
      <c r="Z42" s="472" t="n">
        <v>0.168493188635517</v>
      </c>
      <c r="AA42" s="474" t="n">
        <v>0.147943121963703</v>
      </c>
    </row>
    <row r="43" customFormat="false" ht="13.5" hidden="false" customHeight="true" outlineLevel="0" collapsed="false">
      <c r="A43" s="471" t="s">
        <v>651</v>
      </c>
      <c r="B43" s="263" t="n">
        <v>30</v>
      </c>
      <c r="C43" s="472" t="n">
        <v>0.0987217391304348</v>
      </c>
      <c r="D43" s="472" t="n">
        <v>0.1257495272304</v>
      </c>
      <c r="E43" s="472" t="n">
        <v>0.149081287934923</v>
      </c>
      <c r="F43" s="472" t="n">
        <v>0.236716637983031</v>
      </c>
      <c r="G43" s="473" t="n">
        <v>0.853223079874393</v>
      </c>
      <c r="H43" s="473" t="n">
        <v>0.910617813274885</v>
      </c>
      <c r="I43" s="472" t="n">
        <v>0.0801135544720599</v>
      </c>
      <c r="J43" s="472" t="n">
        <v>0.327940466753169</v>
      </c>
      <c r="K43" s="472" t="n">
        <v>0.050672</v>
      </c>
      <c r="L43" s="472" t="n">
        <v>0.175897646952367</v>
      </c>
      <c r="M43" s="472" t="n">
        <v>0.072706582926212</v>
      </c>
      <c r="N43" s="473" t="n">
        <v>1.42151892733591</v>
      </c>
      <c r="O43" s="473" t="n">
        <v>1.19162693867246</v>
      </c>
      <c r="P43" s="473" t="n">
        <v>8.91812563614126</v>
      </c>
      <c r="Q43" s="473" t="n">
        <v>9.43192050474335</v>
      </c>
      <c r="R43" s="473" t="n">
        <v>1.63309498004189</v>
      </c>
      <c r="S43" s="473" t="n">
        <v>11.4534963156878</v>
      </c>
      <c r="T43" s="472" t="n">
        <v>0.616463510236048</v>
      </c>
      <c r="U43" s="472" t="n">
        <v>0.00488125045320815</v>
      </c>
      <c r="V43" s="472" t="n">
        <v>0.00682785146746064</v>
      </c>
      <c r="W43" s="472" t="n">
        <v>0.31028811699329</v>
      </c>
      <c r="X43" s="472" t="n">
        <v>0.142314303585548</v>
      </c>
      <c r="Y43" s="472" t="n">
        <v>0.0957218858888334</v>
      </c>
      <c r="Z43" s="472" t="n">
        <v>0.0957218858888334</v>
      </c>
      <c r="AA43" s="474" t="n">
        <v>0.12633855565478</v>
      </c>
    </row>
    <row r="44" customFormat="false" ht="13.5" hidden="false" customHeight="true" outlineLevel="0" collapsed="false">
      <c r="A44" s="471" t="s">
        <v>1116</v>
      </c>
      <c r="B44" s="263" t="n">
        <v>31</v>
      </c>
      <c r="C44" s="472" t="n">
        <v>0.159445882352941</v>
      </c>
      <c r="D44" s="472" t="n">
        <v>0.133565580246828</v>
      </c>
      <c r="E44" s="472" t="n">
        <v>0.2216397031878</v>
      </c>
      <c r="F44" s="472" t="n">
        <v>0.213282204319495</v>
      </c>
      <c r="G44" s="473" t="n">
        <v>0.564858871828788</v>
      </c>
      <c r="H44" s="473" t="n">
        <v>0.799678331402763</v>
      </c>
      <c r="I44" s="472" t="n">
        <v>0.0751656535805632</v>
      </c>
      <c r="J44" s="472" t="n">
        <v>0.564569473755568</v>
      </c>
      <c r="K44" s="472" t="n">
        <v>0.052913</v>
      </c>
      <c r="L44" s="472" t="n">
        <v>0.374688845179879</v>
      </c>
      <c r="M44" s="472" t="n">
        <v>0.0618713547920234</v>
      </c>
      <c r="N44" s="473" t="n">
        <v>1.95030851563675</v>
      </c>
      <c r="O44" s="473" t="n">
        <v>1.68874501678279</v>
      </c>
      <c r="P44" s="473" t="n">
        <v>8.86402141674503</v>
      </c>
      <c r="Q44" s="473" t="n">
        <v>13.115463613522</v>
      </c>
      <c r="R44" s="473" t="n">
        <v>5.6227362925154</v>
      </c>
      <c r="S44" s="473" t="n">
        <v>18.8042334893976</v>
      </c>
      <c r="T44" s="472" t="n">
        <v>0.104835076145438</v>
      </c>
      <c r="U44" s="472" t="n">
        <v>0.0595215808953291</v>
      </c>
      <c r="V44" s="472" t="n">
        <v>0.0296118441668661</v>
      </c>
      <c r="W44" s="472" t="n">
        <v>0.339095340638605</v>
      </c>
      <c r="X44" s="472" t="n">
        <v>0.508362802815434</v>
      </c>
      <c r="Y44" s="472" t="n">
        <v>0.0933538317507729</v>
      </c>
      <c r="Z44" s="472" t="n">
        <v>0.0933538317507729</v>
      </c>
      <c r="AA44" s="474" t="n">
        <v>0.128553196360103</v>
      </c>
    </row>
    <row r="45" customFormat="false" ht="13.5" hidden="false" customHeight="true" outlineLevel="0" collapsed="false">
      <c r="A45" s="471" t="s">
        <v>652</v>
      </c>
      <c r="B45" s="263" t="n">
        <v>63</v>
      </c>
      <c r="C45" s="472" t="n">
        <v>0.218171</v>
      </c>
      <c r="D45" s="472" t="n">
        <v>0.193879934881446</v>
      </c>
      <c r="E45" s="472" t="n">
        <v>0.145751190453226</v>
      </c>
      <c r="F45" s="472" t="n">
        <v>0.166151623946426</v>
      </c>
      <c r="G45" s="473" t="n">
        <v>0.875688442779756</v>
      </c>
      <c r="H45" s="473" t="n">
        <v>1.08036756830742</v>
      </c>
      <c r="I45" s="472" t="n">
        <v>0.0876843935465109</v>
      </c>
      <c r="J45" s="472" t="n">
        <v>0.396533519698128</v>
      </c>
      <c r="K45" s="472" t="n">
        <v>0.050672</v>
      </c>
      <c r="L45" s="472" t="n">
        <v>0.28443753198625</v>
      </c>
      <c r="M45" s="472" t="n">
        <v>0.0735534250180357</v>
      </c>
      <c r="N45" s="473" t="n">
        <v>1.03989995585133</v>
      </c>
      <c r="O45" s="473" t="n">
        <v>4.32707614238957</v>
      </c>
      <c r="P45" s="473" t="n">
        <v>14.9326707443761</v>
      </c>
      <c r="Q45" s="473" t="n">
        <v>25.710681771599</v>
      </c>
      <c r="R45" s="473" t="n">
        <v>12.303472671976</v>
      </c>
      <c r="S45" s="473" t="n">
        <v>46.6033394589918</v>
      </c>
      <c r="T45" s="472" t="n">
        <v>0.00766295389674349</v>
      </c>
      <c r="U45" s="472" t="n">
        <v>0.0734170016503556</v>
      </c>
      <c r="V45" s="472" t="n">
        <v>0.0251782452952403</v>
      </c>
      <c r="W45" s="472" t="n">
        <v>0.253748232883206</v>
      </c>
      <c r="X45" s="472" t="n">
        <v>0.453832673602085</v>
      </c>
      <c r="Y45" s="472" t="n">
        <v>0.182804766393982</v>
      </c>
      <c r="Z45" s="472" t="n">
        <v>0.182804766393982</v>
      </c>
      <c r="AA45" s="474" t="n">
        <v>0.165945418679832</v>
      </c>
    </row>
    <row r="46" customFormat="false" ht="13.5" hidden="false" customHeight="true" outlineLevel="0" collapsed="false">
      <c r="A46" s="471" t="s">
        <v>653</v>
      </c>
      <c r="B46" s="263" t="n">
        <v>110</v>
      </c>
      <c r="C46" s="472" t="n">
        <v>0.0808738297872341</v>
      </c>
      <c r="D46" s="472" t="n">
        <v>0.186248823747774</v>
      </c>
      <c r="E46" s="472" t="n">
        <v>0.344198375120019</v>
      </c>
      <c r="F46" s="472" t="n">
        <v>0.20731495457638</v>
      </c>
      <c r="G46" s="473" t="n">
        <v>0.741076928709749</v>
      </c>
      <c r="H46" s="473" t="n">
        <v>0.815515825132415</v>
      </c>
      <c r="I46" s="472" t="n">
        <v>0.0758720058009057</v>
      </c>
      <c r="J46" s="472" t="n">
        <v>0.554637863980653</v>
      </c>
      <c r="K46" s="472" t="n">
        <v>0.052913</v>
      </c>
      <c r="L46" s="472" t="n">
        <v>0.153601292087209</v>
      </c>
      <c r="M46" s="472" t="n">
        <v>0.0703135965527963</v>
      </c>
      <c r="N46" s="473" t="n">
        <v>2.21442926274044</v>
      </c>
      <c r="O46" s="473" t="n">
        <v>3.05946814872604</v>
      </c>
      <c r="P46" s="473" t="n">
        <v>13.1735201641268</v>
      </c>
      <c r="Q46" s="473" t="n">
        <v>16.2549132542133</v>
      </c>
      <c r="R46" s="473" t="n">
        <v>5.84709005585047</v>
      </c>
      <c r="S46" s="473" t="n">
        <v>33.0717958865171</v>
      </c>
      <c r="T46" s="472" t="n">
        <v>0.0600608378839444</v>
      </c>
      <c r="U46" s="472" t="n">
        <v>0.0379144322407216</v>
      </c>
      <c r="V46" s="472" t="n">
        <v>0.0113199613366351</v>
      </c>
      <c r="W46" s="472" t="n">
        <v>0.077576409894996</v>
      </c>
      <c r="X46" s="472" t="n">
        <v>0.270211972393535</v>
      </c>
      <c r="Y46" s="472" t="n">
        <v>0.672462737153068</v>
      </c>
      <c r="Z46" s="472" t="n">
        <v>0.672462737153068</v>
      </c>
      <c r="AA46" s="474" t="n">
        <v>0.188109774984218</v>
      </c>
    </row>
    <row r="47" customFormat="false" ht="13.5" hidden="false" customHeight="true" outlineLevel="0" collapsed="false">
      <c r="A47" s="471" t="s">
        <v>1117</v>
      </c>
      <c r="B47" s="263" t="n">
        <v>15</v>
      </c>
      <c r="C47" s="472" t="n">
        <v>0.0677090909090909</v>
      </c>
      <c r="D47" s="472" t="n">
        <v>0.118860216433974</v>
      </c>
      <c r="E47" s="472" t="n">
        <v>0.221743004219393</v>
      </c>
      <c r="F47" s="472" t="n">
        <v>0.217393414772268</v>
      </c>
      <c r="G47" s="473" t="n">
        <v>0.756356357597164</v>
      </c>
      <c r="H47" s="473" t="n">
        <v>0.92056732348508</v>
      </c>
      <c r="I47" s="472" t="n">
        <v>0.0805573026274346</v>
      </c>
      <c r="J47" s="472" t="n">
        <v>0.323752445480228</v>
      </c>
      <c r="K47" s="472" t="n">
        <v>0.050672</v>
      </c>
      <c r="L47" s="472" t="n">
        <v>0.249079271981651</v>
      </c>
      <c r="M47" s="472" t="n">
        <v>0.0699581569885783</v>
      </c>
      <c r="N47" s="473" t="n">
        <v>2.5121429063367</v>
      </c>
      <c r="O47" s="473" t="n">
        <v>2.21253538911445</v>
      </c>
      <c r="P47" s="473" t="n">
        <v>11.49832200916</v>
      </c>
      <c r="Q47" s="473" t="n">
        <v>17.7665165820875</v>
      </c>
      <c r="R47" s="473" t="n">
        <v>3.79493894732214</v>
      </c>
      <c r="S47" s="473" t="n">
        <v>24.9170275036363</v>
      </c>
      <c r="T47" s="472" t="n">
        <v>0.166212553565434</v>
      </c>
      <c r="U47" s="472" t="n">
        <v>0.0190421414324927</v>
      </c>
      <c r="V47" s="472" t="n">
        <v>-0.0287171695728589</v>
      </c>
      <c r="W47" s="472" t="n">
        <v>-0.267890208896588</v>
      </c>
      <c r="X47" s="472" t="n">
        <v>0.149460900440439</v>
      </c>
      <c r="Y47" s="472" t="n">
        <v>0.320673349725742</v>
      </c>
      <c r="Z47" s="472" t="n">
        <v>0.320673349725742</v>
      </c>
      <c r="AA47" s="474" t="n">
        <v>0.12471997049955</v>
      </c>
    </row>
    <row r="48" customFormat="false" ht="13.5" hidden="false" customHeight="true" outlineLevel="0" collapsed="false">
      <c r="A48" s="471" t="s">
        <v>1118</v>
      </c>
      <c r="B48" s="263" t="n">
        <v>21</v>
      </c>
      <c r="C48" s="472" t="n">
        <v>0.118277692307692</v>
      </c>
      <c r="D48" s="472" t="n">
        <v>0.213128256425106</v>
      </c>
      <c r="E48" s="472" t="n">
        <v>0.445060995882638</v>
      </c>
      <c r="F48" s="472" t="n">
        <v>0.223196719903419</v>
      </c>
      <c r="G48" s="473" t="n">
        <v>0.578072426204625</v>
      </c>
      <c r="H48" s="473" t="n">
        <v>0.671975042240811</v>
      </c>
      <c r="I48" s="472" t="n">
        <v>0.0694700868839402</v>
      </c>
      <c r="J48" s="472" t="n">
        <v>0.46070163153831</v>
      </c>
      <c r="K48" s="472" t="n">
        <v>0.052913</v>
      </c>
      <c r="L48" s="472" t="n">
        <v>0.203996660095767</v>
      </c>
      <c r="M48" s="472" t="n">
        <v>0.0633939776397891</v>
      </c>
      <c r="N48" s="473" t="n">
        <v>2.40997756615303</v>
      </c>
      <c r="O48" s="473" t="n">
        <v>4.32404760288181</v>
      </c>
      <c r="P48" s="473" t="n">
        <v>15.7579048573028</v>
      </c>
      <c r="Q48" s="473" t="n">
        <v>20.099906084077</v>
      </c>
      <c r="R48" s="473" t="n">
        <v>3.45173194841065</v>
      </c>
      <c r="S48" s="473" t="n">
        <v>33.9644750838615</v>
      </c>
      <c r="T48" s="472" t="n">
        <v>0.265380978704361</v>
      </c>
      <c r="U48" s="472" t="n">
        <v>0.0113765388226416</v>
      </c>
      <c r="V48" s="472" t="n">
        <v>0.550430131529302</v>
      </c>
      <c r="W48" s="472" t="n">
        <v>3.24207253920815</v>
      </c>
      <c r="X48" s="472" t="n">
        <v>0.190716563362503</v>
      </c>
      <c r="Y48" s="472" t="n">
        <v>0.366422097478676</v>
      </c>
      <c r="Z48" s="472" t="n">
        <v>0.366422097478676</v>
      </c>
      <c r="AA48" s="474" t="n">
        <v>0.214569955938771</v>
      </c>
    </row>
    <row r="49" customFormat="false" ht="13.5" hidden="false" customHeight="true" outlineLevel="0" collapsed="false">
      <c r="A49" s="471" t="s">
        <v>656</v>
      </c>
      <c r="B49" s="263" t="n">
        <v>20</v>
      </c>
      <c r="C49" s="472" t="n">
        <v>0.02519</v>
      </c>
      <c r="D49" s="472" t="n">
        <v>0.106132198643645</v>
      </c>
      <c r="E49" s="472" t="n">
        <v>0.107657656883042</v>
      </c>
      <c r="F49" s="472" t="n">
        <v>0.186768101257412</v>
      </c>
      <c r="G49" s="473" t="n">
        <v>0.531748006527577</v>
      </c>
      <c r="H49" s="473" t="n">
        <v>0.644493092518027</v>
      </c>
      <c r="I49" s="472" t="n">
        <v>0.068244391926304</v>
      </c>
      <c r="J49" s="472" t="n">
        <v>0.351519342263146</v>
      </c>
      <c r="K49" s="472" t="n">
        <v>0.050672</v>
      </c>
      <c r="L49" s="472" t="n">
        <v>0.404194037018238</v>
      </c>
      <c r="M49" s="472" t="n">
        <v>0.0560214058325975</v>
      </c>
      <c r="N49" s="473" t="n">
        <v>1.19212808415916</v>
      </c>
      <c r="O49" s="473" t="n">
        <v>1.28382492247473</v>
      </c>
      <c r="P49" s="473" t="n">
        <v>12.5224666727187</v>
      </c>
      <c r="Q49" s="473" t="n">
        <v>11.6956095413971</v>
      </c>
      <c r="R49" s="473" t="n">
        <v>1.43411650467255</v>
      </c>
      <c r="S49" s="473" t="n">
        <v>12.5574468665789</v>
      </c>
      <c r="T49" s="472" t="n">
        <v>0.23166860230403</v>
      </c>
      <c r="U49" s="472" t="n">
        <v>0.00172357108928718</v>
      </c>
      <c r="V49" s="472" t="n">
        <v>0.00317467738686469</v>
      </c>
      <c r="W49" s="472" t="n">
        <v>0.0531386403080186</v>
      </c>
      <c r="X49" s="472" t="n">
        <v>0.128735296351518</v>
      </c>
      <c r="Y49" s="472" t="n">
        <v>0.336067983019128</v>
      </c>
      <c r="Z49" s="472" t="n">
        <v>0.336067983019128</v>
      </c>
      <c r="AA49" s="474" t="n">
        <v>0.106476691642666</v>
      </c>
    </row>
    <row r="50" customFormat="false" ht="13.5" hidden="false" customHeight="true" outlineLevel="0" collapsed="false">
      <c r="A50" s="471" t="s">
        <v>1119</v>
      </c>
      <c r="B50" s="263" t="n">
        <v>57</v>
      </c>
      <c r="C50" s="472" t="n">
        <v>0.0876418367346939</v>
      </c>
      <c r="D50" s="472" t="n">
        <v>0.152541145701163</v>
      </c>
      <c r="E50" s="472" t="n">
        <v>0.184889792234778</v>
      </c>
      <c r="F50" s="472" t="n">
        <v>0.215888997456643</v>
      </c>
      <c r="G50" s="473" t="n">
        <v>0.457023494923146</v>
      </c>
      <c r="H50" s="473" t="n">
        <v>0.484110015128905</v>
      </c>
      <c r="I50" s="472" t="n">
        <v>0.0610913066747492</v>
      </c>
      <c r="J50" s="472" t="n">
        <v>0.286968795285351</v>
      </c>
      <c r="K50" s="472" t="n">
        <v>0.047306</v>
      </c>
      <c r="L50" s="472" t="n">
        <v>0.129142028899487</v>
      </c>
      <c r="M50" s="472" t="n">
        <v>0.0577837459969906</v>
      </c>
      <c r="N50" s="473" t="n">
        <v>1.48029831190474</v>
      </c>
      <c r="O50" s="473" t="n">
        <v>1.48878191322409</v>
      </c>
      <c r="P50" s="473" t="n">
        <v>8.4356789458995</v>
      </c>
      <c r="Q50" s="473" t="n">
        <v>9.63996254509612</v>
      </c>
      <c r="R50" s="473" t="n">
        <v>2.0238527600266</v>
      </c>
      <c r="S50" s="473" t="n">
        <v>18.3344416573729</v>
      </c>
      <c r="T50" s="472" t="n">
        <v>-0.404785157598495</v>
      </c>
      <c r="U50" s="472" t="n">
        <v>0.00646398908115745</v>
      </c>
      <c r="V50" s="472" t="n">
        <v>-0.010506217293197</v>
      </c>
      <c r="W50" s="472" t="n">
        <v>0.0200468511596964</v>
      </c>
      <c r="X50" s="472" t="n">
        <v>0.187147254006784</v>
      </c>
      <c r="Y50" s="472" t="n">
        <v>0.224857012722028</v>
      </c>
      <c r="Z50" s="472" t="n">
        <v>0.224857012722028</v>
      </c>
      <c r="AA50" s="474" t="n">
        <v>0.153005831209949</v>
      </c>
    </row>
    <row r="51" customFormat="false" ht="13.5" hidden="false" customHeight="true" outlineLevel="0" collapsed="false">
      <c r="A51" s="471" t="s">
        <v>1120</v>
      </c>
      <c r="B51" s="263" t="n">
        <v>283</v>
      </c>
      <c r="C51" s="472" t="n">
        <v>0.0568886274509804</v>
      </c>
      <c r="D51" s="472" t="n">
        <v>0.255024819913312</v>
      </c>
      <c r="E51" s="472" t="n">
        <v>0.142532073005187</v>
      </c>
      <c r="F51" s="472" t="n">
        <v>0.185115888724454</v>
      </c>
      <c r="G51" s="473" t="n">
        <v>0.588064033338367</v>
      </c>
      <c r="H51" s="473" t="n">
        <v>0.659581751266394</v>
      </c>
      <c r="I51" s="472" t="n">
        <v>0.0689173461064812</v>
      </c>
      <c r="J51" s="472" t="n">
        <v>0.30042257283097</v>
      </c>
      <c r="K51" s="472" t="n">
        <v>0.050672</v>
      </c>
      <c r="L51" s="472" t="n">
        <v>0.246353395938602</v>
      </c>
      <c r="M51" s="472" t="n">
        <v>0.0613017383133242</v>
      </c>
      <c r="N51" s="473" t="n">
        <v>0.589417389884167</v>
      </c>
      <c r="O51" s="473" t="n">
        <v>5.48604562572895</v>
      </c>
      <c r="P51" s="473" t="n">
        <v>38.0288005790441</v>
      </c>
      <c r="Q51" s="473" t="n">
        <v>20.3999194905598</v>
      </c>
      <c r="R51" s="473" t="n">
        <v>2.48961601296667</v>
      </c>
      <c r="S51" s="473" t="n">
        <v>75.3049083285905</v>
      </c>
      <c r="T51" s="472" t="s">
        <v>1093</v>
      </c>
      <c r="U51" s="472" t="n">
        <v>0.0244426147414759</v>
      </c>
      <c r="V51" s="472" t="n">
        <v>0.210229982131193</v>
      </c>
      <c r="W51" s="472" t="n">
        <v>1.31065335648488</v>
      </c>
      <c r="X51" s="472" t="n">
        <v>0.158806767828987</v>
      </c>
      <c r="Y51" s="472" t="n">
        <v>0.582400620280428</v>
      </c>
      <c r="Z51" s="472" t="n">
        <v>0.582400620280428</v>
      </c>
      <c r="AA51" s="474" t="n">
        <v>0.252572918757687</v>
      </c>
    </row>
    <row r="52" customFormat="false" ht="13.5" hidden="false" customHeight="true" outlineLevel="0" collapsed="false">
      <c r="A52" s="471" t="s">
        <v>662</v>
      </c>
      <c r="B52" s="263" t="n">
        <v>105</v>
      </c>
      <c r="C52" s="472" t="n">
        <v>0.103687746478873</v>
      </c>
      <c r="D52" s="472" t="n">
        <v>0.158649506951788</v>
      </c>
      <c r="E52" s="472" t="n">
        <v>0.244083257883221</v>
      </c>
      <c r="F52" s="472" t="n">
        <v>0.212110631966381</v>
      </c>
      <c r="G52" s="473" t="n">
        <v>0.894030251008694</v>
      </c>
      <c r="H52" s="473" t="n">
        <v>0.963620790349439</v>
      </c>
      <c r="I52" s="472" t="n">
        <v>0.082477487249585</v>
      </c>
      <c r="J52" s="472" t="n">
        <v>0.450341166607364</v>
      </c>
      <c r="K52" s="472" t="n">
        <v>0.052913</v>
      </c>
      <c r="L52" s="472" t="n">
        <v>0.128101898330155</v>
      </c>
      <c r="M52" s="472" t="n">
        <v>0.0769956563731696</v>
      </c>
      <c r="N52" s="473" t="n">
        <v>1.95192559020453</v>
      </c>
      <c r="O52" s="473" t="n">
        <v>3.42613113028969</v>
      </c>
      <c r="P52" s="473" t="n">
        <v>16.217470562271</v>
      </c>
      <c r="Q52" s="473" t="n">
        <v>21.0363302646182</v>
      </c>
      <c r="R52" s="473" t="n">
        <v>4.50141002409552</v>
      </c>
      <c r="S52" s="473" t="n">
        <v>35.7610358772678</v>
      </c>
      <c r="T52" s="472" t="n">
        <v>0.244219356766816</v>
      </c>
      <c r="U52" s="472" t="n">
        <v>0.0239031365627516</v>
      </c>
      <c r="V52" s="472" t="n">
        <v>0.0413510462788128</v>
      </c>
      <c r="W52" s="472" t="n">
        <v>0.343257074538155</v>
      </c>
      <c r="X52" s="472" t="n">
        <v>0.16423121638505</v>
      </c>
      <c r="Y52" s="472" t="n">
        <v>0.33425683617051</v>
      </c>
      <c r="Z52" s="472" t="n">
        <v>0.33425683617051</v>
      </c>
      <c r="AA52" s="474" t="n">
        <v>0.161210523700289</v>
      </c>
    </row>
    <row r="53" customFormat="false" ht="13.5" hidden="false" customHeight="true" outlineLevel="0" collapsed="false">
      <c r="A53" s="471" t="s">
        <v>1121</v>
      </c>
      <c r="B53" s="263" t="n">
        <v>73</v>
      </c>
      <c r="C53" s="472" t="n">
        <v>0.0867066666666667</v>
      </c>
      <c r="D53" s="472" t="n">
        <v>0.238542719173533</v>
      </c>
      <c r="E53" s="472" t="n">
        <v>0.270436177678695</v>
      </c>
      <c r="F53" s="472" t="n">
        <v>0.344628310372508</v>
      </c>
      <c r="G53" s="473" t="n">
        <v>1.0104492960544</v>
      </c>
      <c r="H53" s="473" t="n">
        <v>1.04303147623085</v>
      </c>
      <c r="I53" s="472" t="n">
        <v>0.0860192038398957</v>
      </c>
      <c r="J53" s="472" t="n">
        <v>0.775602595746833</v>
      </c>
      <c r="K53" s="472" t="n">
        <v>0.060195</v>
      </c>
      <c r="L53" s="472" t="n">
        <v>0.0989734528307213</v>
      </c>
      <c r="M53" s="472" t="n">
        <v>0.0819738664709706</v>
      </c>
      <c r="N53" s="473" t="n">
        <v>1.17571560136077</v>
      </c>
      <c r="O53" s="473" t="n">
        <v>4.03448254805696</v>
      </c>
      <c r="P53" s="473" t="n">
        <v>11.3906369554613</v>
      </c>
      <c r="Q53" s="473" t="n">
        <v>15.7218989822806</v>
      </c>
      <c r="R53" s="473" t="n">
        <v>4.33676552010733</v>
      </c>
      <c r="S53" s="473" t="n">
        <v>54.1176014151896</v>
      </c>
      <c r="T53" s="472" t="n">
        <v>0.14887154431535</v>
      </c>
      <c r="U53" s="472" t="n">
        <v>0.11715688032981</v>
      </c>
      <c r="V53" s="472" t="n">
        <v>0.0461384689208652</v>
      </c>
      <c r="W53" s="472" t="n">
        <v>0.324032175305239</v>
      </c>
      <c r="X53" s="472" t="n">
        <v>0.177943487488082</v>
      </c>
      <c r="Y53" s="472" t="n">
        <v>0.519994493717428</v>
      </c>
      <c r="Z53" s="472" t="n">
        <v>0.519994493717428</v>
      </c>
      <c r="AA53" s="474" t="n">
        <v>0.237501311472732</v>
      </c>
    </row>
    <row r="54" customFormat="false" ht="13.5" hidden="false" customHeight="true" outlineLevel="0" collapsed="false">
      <c r="A54" s="471" t="s">
        <v>1122</v>
      </c>
      <c r="B54" s="263" t="n">
        <v>14</v>
      </c>
      <c r="C54" s="472" t="n">
        <v>0.0813</v>
      </c>
      <c r="D54" s="472" t="n">
        <v>0.107283052147578</v>
      </c>
      <c r="E54" s="472" t="n">
        <v>0.182601602033207</v>
      </c>
      <c r="F54" s="472" t="n">
        <v>0.237597114003641</v>
      </c>
      <c r="G54" s="473" t="n">
        <v>1.03819018978617</v>
      </c>
      <c r="H54" s="473" t="n">
        <v>1.33437503862175</v>
      </c>
      <c r="I54" s="472" t="n">
        <v>0.09901312672253</v>
      </c>
      <c r="J54" s="472" t="n">
        <v>0.3960756696465</v>
      </c>
      <c r="K54" s="472" t="n">
        <v>0.050672</v>
      </c>
      <c r="L54" s="472" t="n">
        <v>0.324791843694887</v>
      </c>
      <c r="M54" s="472" t="n">
        <v>0.0791978599721045</v>
      </c>
      <c r="N54" s="473" t="n">
        <v>2.205030678534</v>
      </c>
      <c r="O54" s="473" t="n">
        <v>1.43366374296621</v>
      </c>
      <c r="P54" s="473" t="n">
        <v>8.59485446883365</v>
      </c>
      <c r="Q54" s="473" t="n">
        <v>13.0262887992241</v>
      </c>
      <c r="R54" s="473" t="n">
        <v>2.92407896085479</v>
      </c>
      <c r="S54" s="473" t="n">
        <v>18.5515269482841</v>
      </c>
      <c r="T54" s="472" t="n">
        <v>0.0813899150038206</v>
      </c>
      <c r="U54" s="472" t="n">
        <v>0.0276434135690592</v>
      </c>
      <c r="V54" s="472" t="n">
        <v>0.0186951695138595</v>
      </c>
      <c r="W54" s="472" t="n">
        <v>0.322916430702224</v>
      </c>
      <c r="X54" s="472" t="n">
        <v>0.132256619473647</v>
      </c>
      <c r="Y54" s="472" t="n">
        <v>0.57403612207606</v>
      </c>
      <c r="Z54" s="472" t="n">
        <v>0.57403612207606</v>
      </c>
      <c r="AA54" s="474" t="n">
        <v>0.107982927187484</v>
      </c>
    </row>
    <row r="55" customFormat="false" ht="13.5" hidden="false" customHeight="true" outlineLevel="0" collapsed="false">
      <c r="A55" s="471" t="s">
        <v>1123</v>
      </c>
      <c r="B55" s="263" t="n">
        <v>4</v>
      </c>
      <c r="C55" s="472" t="n">
        <v>0.0462</v>
      </c>
      <c r="D55" s="472" t="n">
        <v>0.112486638946923</v>
      </c>
      <c r="E55" s="472" t="n">
        <v>0.0844906040235468</v>
      </c>
      <c r="F55" s="472" t="n">
        <v>0.31437215036996</v>
      </c>
      <c r="G55" s="473" t="n">
        <v>0.278004012358867</v>
      </c>
      <c r="H55" s="473" t="n">
        <v>0.299381979643998</v>
      </c>
      <c r="I55" s="472" t="n">
        <v>0.0528524362921223</v>
      </c>
      <c r="J55" s="472" t="n">
        <v>0.202682790458858</v>
      </c>
      <c r="K55" s="472" t="n">
        <v>0.047306</v>
      </c>
      <c r="L55" s="472" t="n">
        <v>0.121612740694131</v>
      </c>
      <c r="M55" s="472" t="n">
        <v>0.0507396658957328</v>
      </c>
      <c r="N55" s="473" t="n">
        <v>1.02431129118589</v>
      </c>
      <c r="O55" s="473" t="n">
        <v>1.75317623273319</v>
      </c>
      <c r="P55" s="473" t="n">
        <v>8.16302161110727</v>
      </c>
      <c r="Q55" s="473" t="n">
        <v>15.1567039733533</v>
      </c>
      <c r="R55" s="473" t="n">
        <v>1.70755233104673</v>
      </c>
      <c r="S55" s="473" t="n">
        <v>16.2439054828659</v>
      </c>
      <c r="T55" s="472" t="n">
        <v>0.0392742514072597</v>
      </c>
      <c r="U55" s="472" t="n">
        <v>0.0963898808353724</v>
      </c>
      <c r="V55" s="472" t="n">
        <v>0.00389032520401735</v>
      </c>
      <c r="W55" s="472" t="n">
        <v>0.0839489214373874</v>
      </c>
      <c r="X55" s="472" t="n">
        <v>0.0995750214039911</v>
      </c>
      <c r="Y55" s="472" t="n">
        <v>0.677339360556688</v>
      </c>
      <c r="Z55" s="472" t="n">
        <v>0.677339360556688</v>
      </c>
      <c r="AA55" s="474" t="n">
        <v>0.115774120061462</v>
      </c>
    </row>
    <row r="56" customFormat="false" ht="13.5" hidden="false" customHeight="true" outlineLevel="0" collapsed="false">
      <c r="A56" s="471" t="s">
        <v>1124</v>
      </c>
      <c r="B56" s="263" t="n">
        <v>142</v>
      </c>
      <c r="C56" s="472" t="n">
        <v>0.176125205479452</v>
      </c>
      <c r="D56" s="472" t="n">
        <v>0.254158298798139</v>
      </c>
      <c r="E56" s="472" t="n">
        <v>0.137310952709675</v>
      </c>
      <c r="F56" s="472" t="n">
        <v>0.2533721378027</v>
      </c>
      <c r="G56" s="473" t="n">
        <v>0.578540569288532</v>
      </c>
      <c r="H56" s="473" t="n">
        <v>0.72140595546977</v>
      </c>
      <c r="I56" s="472" t="n">
        <v>0.0716747056139517</v>
      </c>
      <c r="J56" s="472" t="n">
        <v>0.422192009746094</v>
      </c>
      <c r="K56" s="472" t="n">
        <v>0.050672</v>
      </c>
      <c r="L56" s="472" t="n">
        <v>0.273190451737234</v>
      </c>
      <c r="M56" s="472" t="n">
        <v>0.0624761903369649</v>
      </c>
      <c r="N56" s="473" t="n">
        <v>0.574099443176888</v>
      </c>
      <c r="O56" s="473" t="n">
        <v>2.68258859948438</v>
      </c>
      <c r="P56" s="473" t="n">
        <v>5.14585933864515</v>
      </c>
      <c r="Q56" s="473" t="n">
        <v>10.2774437443348</v>
      </c>
      <c r="R56" s="473" t="n">
        <v>1.35572074366619</v>
      </c>
      <c r="S56" s="473" t="n">
        <v>30.983413096602</v>
      </c>
      <c r="T56" s="472" t="n">
        <v>0.00661712711910451</v>
      </c>
      <c r="U56" s="472" t="n">
        <v>0.381374109710459</v>
      </c>
      <c r="V56" s="472" t="n">
        <v>0.190486918745759</v>
      </c>
      <c r="W56" s="472" t="n">
        <v>1.0047519443562</v>
      </c>
      <c r="X56" s="472" t="n">
        <v>0.122110661396429</v>
      </c>
      <c r="Y56" s="472" t="n">
        <v>0.416987812778014</v>
      </c>
      <c r="Z56" s="472" t="n">
        <v>0.416987812778014</v>
      </c>
      <c r="AA56" s="474" t="n">
        <v>0.257496485193358</v>
      </c>
    </row>
    <row r="57" customFormat="false" ht="13.5" hidden="false" customHeight="true" outlineLevel="0" collapsed="false">
      <c r="A57" s="471" t="s">
        <v>1125</v>
      </c>
      <c r="B57" s="263" t="n">
        <v>23</v>
      </c>
      <c r="C57" s="472" t="n">
        <v>0.201280666666667</v>
      </c>
      <c r="D57" s="472" t="n">
        <v>0.257781099073449</v>
      </c>
      <c r="E57" s="472" t="n">
        <v>0.123510551591223</v>
      </c>
      <c r="F57" s="472" t="n">
        <v>0.203885043964379</v>
      </c>
      <c r="G57" s="473" t="n">
        <v>0.469256297409076</v>
      </c>
      <c r="H57" s="473" t="n">
        <v>0.66922245171449</v>
      </c>
      <c r="I57" s="472" t="n">
        <v>0.0693473213464663</v>
      </c>
      <c r="J57" s="472" t="n">
        <v>0.422403724532656</v>
      </c>
      <c r="K57" s="472" t="n">
        <v>0.050672</v>
      </c>
      <c r="L57" s="472" t="n">
        <v>0.369193175398928</v>
      </c>
      <c r="M57" s="472" t="n">
        <v>0.0577755810110154</v>
      </c>
      <c r="N57" s="473" t="n">
        <v>0.521937468522693</v>
      </c>
      <c r="O57" s="473" t="n">
        <v>4.37178378188289</v>
      </c>
      <c r="P57" s="473" t="n">
        <v>11.5623965895417</v>
      </c>
      <c r="Q57" s="473" t="n">
        <v>16.4805767999161</v>
      </c>
      <c r="R57" s="473" t="n">
        <v>2.88227102083848</v>
      </c>
      <c r="S57" s="473" t="n">
        <v>23.7172639400163</v>
      </c>
      <c r="T57" s="472" t="n">
        <v>0.0105700391213076</v>
      </c>
      <c r="U57" s="472" t="n">
        <v>0.212411095406002</v>
      </c>
      <c r="V57" s="472" t="n">
        <v>0.195920392936945</v>
      </c>
      <c r="W57" s="472" t="n">
        <v>0.996338271410051</v>
      </c>
      <c r="X57" s="472" t="n">
        <v>0.180327024157224</v>
      </c>
      <c r="Y57" s="472" t="n">
        <v>0.694348555500505</v>
      </c>
      <c r="Z57" s="472" t="n">
        <v>0.694348555500505</v>
      </c>
      <c r="AA57" s="474" t="n">
        <v>0.260546828087644</v>
      </c>
    </row>
    <row r="58" customFormat="false" ht="13.5" hidden="false" customHeight="true" outlineLevel="0" collapsed="false">
      <c r="A58" s="471" t="s">
        <v>1126</v>
      </c>
      <c r="B58" s="263" t="n">
        <v>97</v>
      </c>
      <c r="C58" s="472" t="n">
        <v>0.107859272727273</v>
      </c>
      <c r="D58" s="472" t="n">
        <v>0.0464960627866238</v>
      </c>
      <c r="E58" s="472" t="n">
        <v>0.11937951003115</v>
      </c>
      <c r="F58" s="472" t="n">
        <v>0.185458689615651</v>
      </c>
      <c r="G58" s="473" t="n">
        <v>0.787057564142073</v>
      </c>
      <c r="H58" s="473" t="n">
        <v>0.951241871628525</v>
      </c>
      <c r="I58" s="472" t="n">
        <v>0.0819253874746322</v>
      </c>
      <c r="J58" s="472" t="n">
        <v>0.483164353540624</v>
      </c>
      <c r="K58" s="472" t="n">
        <v>0.052913</v>
      </c>
      <c r="L58" s="472" t="n">
        <v>0.271989328604647</v>
      </c>
      <c r="M58" s="472" t="n">
        <v>0.0704363848480747</v>
      </c>
      <c r="N58" s="473" t="n">
        <v>2.7927151872709</v>
      </c>
      <c r="O58" s="473" t="n">
        <v>0.741351836938434</v>
      </c>
      <c r="P58" s="473" t="n">
        <v>8.6297606667476</v>
      </c>
      <c r="Q58" s="473" t="n">
        <v>14.904129004234</v>
      </c>
      <c r="R58" s="473" t="n">
        <v>1.91838934733431</v>
      </c>
      <c r="S58" s="473" t="n">
        <v>33.3003453382197</v>
      </c>
      <c r="T58" s="472" t="n">
        <v>0.0892632948294586</v>
      </c>
      <c r="U58" s="472" t="n">
        <v>0.0288813081226077</v>
      </c>
      <c r="V58" s="472" t="n">
        <v>0.00908067074873756</v>
      </c>
      <c r="W58" s="472" t="n">
        <v>0.32183361302358</v>
      </c>
      <c r="X58" s="472" t="n">
        <v>0.0864604126050346</v>
      </c>
      <c r="Y58" s="472" t="n">
        <v>0.600750873989429</v>
      </c>
      <c r="Z58" s="472" t="n">
        <v>0.600750873989429</v>
      </c>
      <c r="AA58" s="474" t="n">
        <v>0.048154549584061</v>
      </c>
    </row>
    <row r="59" customFormat="false" ht="13.5" hidden="false" customHeight="true" outlineLevel="0" collapsed="false">
      <c r="A59" s="471" t="s">
        <v>674</v>
      </c>
      <c r="B59" s="263" t="n">
        <v>19</v>
      </c>
      <c r="C59" s="472" t="n">
        <v>0.04663</v>
      </c>
      <c r="D59" s="472" t="n">
        <v>0.0957557654554476</v>
      </c>
      <c r="E59" s="472" t="n">
        <v>0.148169271958356</v>
      </c>
      <c r="F59" s="472" t="n">
        <v>0.235752151364087</v>
      </c>
      <c r="G59" s="473" t="n">
        <v>0.74899179586351</v>
      </c>
      <c r="H59" s="473" t="n">
        <v>1.02192977504325</v>
      </c>
      <c r="I59" s="472" t="n">
        <v>0.0850780679669291</v>
      </c>
      <c r="J59" s="472" t="n">
        <v>0.254479091439986</v>
      </c>
      <c r="K59" s="472" t="n">
        <v>0.047306</v>
      </c>
      <c r="L59" s="472" t="n">
        <v>0.355294544097826</v>
      </c>
      <c r="M59" s="472" t="n">
        <v>0.067455967373214</v>
      </c>
      <c r="N59" s="473" t="n">
        <v>1.84038070265313</v>
      </c>
      <c r="O59" s="473" t="n">
        <v>1.54822374059853</v>
      </c>
      <c r="P59" s="473" t="n">
        <v>9.70956723328831</v>
      </c>
      <c r="Q59" s="473" t="n">
        <v>15.7784503509321</v>
      </c>
      <c r="R59" s="473" t="n">
        <v>2.18396760633328</v>
      </c>
      <c r="S59" s="473" t="n">
        <v>16.4282162887467</v>
      </c>
      <c r="T59" s="472" t="n">
        <v>0.126559729183596</v>
      </c>
      <c r="U59" s="472" t="n">
        <v>0.0546990349558827</v>
      </c>
      <c r="V59" s="472" t="n">
        <v>0.0513782620576582</v>
      </c>
      <c r="W59" s="472" t="n">
        <v>0.939585066359705</v>
      </c>
      <c r="X59" s="472" t="n">
        <v>0.122937318539654</v>
      </c>
      <c r="Y59" s="472" t="n">
        <v>0.555824875201471</v>
      </c>
      <c r="Z59" s="472" t="n">
        <v>0.555824875201471</v>
      </c>
      <c r="AA59" s="474" t="n">
        <v>0.0976732741870518</v>
      </c>
    </row>
    <row r="60" customFormat="false" ht="13.5" hidden="false" customHeight="true" outlineLevel="0" collapsed="false">
      <c r="A60" s="471" t="s">
        <v>1127</v>
      </c>
      <c r="B60" s="263" t="n">
        <v>6</v>
      </c>
      <c r="C60" s="472" t="n">
        <v>-0.0034</v>
      </c>
      <c r="D60" s="472" t="n">
        <v>0.063448388590732</v>
      </c>
      <c r="E60" s="472" t="n">
        <v>0.104142056623755</v>
      </c>
      <c r="F60" s="472" t="n">
        <v>0.258426966292135</v>
      </c>
      <c r="G60" s="473" t="n">
        <v>0.769675145540825</v>
      </c>
      <c r="H60" s="473" t="n">
        <v>0.957978430969365</v>
      </c>
      <c r="I60" s="472" t="n">
        <v>0.0822258380212337</v>
      </c>
      <c r="J60" s="472" t="n">
        <v>0.569445023824928</v>
      </c>
      <c r="K60" s="472" t="n">
        <v>0.052913</v>
      </c>
      <c r="L60" s="472" t="n">
        <v>0.30404851204898</v>
      </c>
      <c r="M60" s="472" t="n">
        <v>0.0692912835074329</v>
      </c>
      <c r="N60" s="473" t="n">
        <v>1.73179843318611</v>
      </c>
      <c r="O60" s="473" t="n">
        <v>1.02039860017549</v>
      </c>
      <c r="P60" s="473" t="n">
        <v>8.18328266331112</v>
      </c>
      <c r="Q60" s="473" t="n">
        <v>15.510405513935</v>
      </c>
      <c r="R60" s="473" t="n">
        <v>1.82813193074732</v>
      </c>
      <c r="S60" s="473" t="n">
        <v>12.8505391467417</v>
      </c>
      <c r="T60" s="472" t="n">
        <v>0.132445219349625</v>
      </c>
      <c r="U60" s="472" t="n">
        <v>0.0621044124190663</v>
      </c>
      <c r="V60" s="472" t="n">
        <v>0.0180074645163048</v>
      </c>
      <c r="W60" s="472" t="n">
        <v>0.442877704388983</v>
      </c>
      <c r="X60" s="472" t="n">
        <v>0.0701364998335368</v>
      </c>
      <c r="Y60" s="472" t="n">
        <v>3.32542194092827</v>
      </c>
      <c r="Z60" s="472" t="n">
        <v>3.32542194092827</v>
      </c>
      <c r="AA60" s="474" t="n">
        <v>0.0662949768891948</v>
      </c>
    </row>
    <row r="61" customFormat="false" ht="13.5" hidden="false" customHeight="true" outlineLevel="0" collapsed="false">
      <c r="A61" s="471" t="s">
        <v>1128</v>
      </c>
      <c r="B61" s="263" t="n">
        <v>46</v>
      </c>
      <c r="C61" s="472" t="n">
        <v>0.0673530952380952</v>
      </c>
      <c r="D61" s="472" t="n">
        <v>0.214699566220243</v>
      </c>
      <c r="E61" s="472" t="n">
        <v>0.0692187242029082</v>
      </c>
      <c r="F61" s="472" t="n">
        <v>0.130136806041149</v>
      </c>
      <c r="G61" s="473" t="n">
        <v>0.314578407757456</v>
      </c>
      <c r="H61" s="473" t="n">
        <v>0.482432671317022</v>
      </c>
      <c r="I61" s="472" t="n">
        <v>0.0610164971407392</v>
      </c>
      <c r="J61" s="472" t="n">
        <v>0.253799886978557</v>
      </c>
      <c r="K61" s="472" t="n">
        <v>0.047306</v>
      </c>
      <c r="L61" s="472" t="n">
        <v>0.425777921074967</v>
      </c>
      <c r="M61" s="472" t="n">
        <v>0.0501434075876579</v>
      </c>
      <c r="N61" s="473" t="n">
        <v>0.371733512663962</v>
      </c>
      <c r="O61" s="473" t="n">
        <v>4.69580646185064</v>
      </c>
      <c r="P61" s="473" t="n">
        <v>12.3814103190817</v>
      </c>
      <c r="Q61" s="473" t="n">
        <v>21.8590859232574</v>
      </c>
      <c r="R61" s="473" t="n">
        <v>2.27566199114057</v>
      </c>
      <c r="S61" s="473" t="n">
        <v>24.7411719137689</v>
      </c>
      <c r="T61" s="472" t="n">
        <v>0.0307934095863899</v>
      </c>
      <c r="U61" s="472" t="n">
        <v>0.386946150739995</v>
      </c>
      <c r="V61" s="472" t="n">
        <v>0.243461438060452</v>
      </c>
      <c r="W61" s="472" t="n">
        <v>1.30953437701771</v>
      </c>
      <c r="X61" s="472" t="n">
        <v>0.123990939842341</v>
      </c>
      <c r="Y61" s="472" t="n">
        <v>0.54957891962096</v>
      </c>
      <c r="Z61" s="472" t="n">
        <v>0.54957891962096</v>
      </c>
      <c r="AA61" s="474" t="n">
        <v>0.213665959990985</v>
      </c>
    </row>
    <row r="62" customFormat="false" ht="13.5" hidden="false" customHeight="true" outlineLevel="0" collapsed="false">
      <c r="A62" s="471" t="s">
        <v>1129</v>
      </c>
      <c r="B62" s="263" t="n">
        <v>56</v>
      </c>
      <c r="C62" s="472" t="n">
        <v>0.460454545454545</v>
      </c>
      <c r="D62" s="472" t="n">
        <v>0.403887750601932</v>
      </c>
      <c r="E62" s="472" t="n">
        <v>0.254516378624222</v>
      </c>
      <c r="F62" s="472" t="n">
        <v>0.287465970905292</v>
      </c>
      <c r="G62" s="473" t="n">
        <v>0.830896207340172</v>
      </c>
      <c r="H62" s="473" t="n">
        <v>0.836560651229194</v>
      </c>
      <c r="I62" s="472" t="n">
        <v>0.0768106050448221</v>
      </c>
      <c r="J62" s="472" t="n">
        <v>0.699472035460184</v>
      </c>
      <c r="K62" s="472" t="n">
        <v>0.060195</v>
      </c>
      <c r="L62" s="472" t="n">
        <v>0.0678694011245491</v>
      </c>
      <c r="M62" s="472" t="n">
        <v>0.0746615642309349</v>
      </c>
      <c r="N62" s="473" t="n">
        <v>0.677796166363582</v>
      </c>
      <c r="O62" s="473" t="n">
        <v>5.98173702887039</v>
      </c>
      <c r="P62" s="473" t="n">
        <v>10.6763411444313</v>
      </c>
      <c r="Q62" s="473" t="n">
        <v>14.2846683776474</v>
      </c>
      <c r="R62" s="473" t="n">
        <v>3.64009868462153</v>
      </c>
      <c r="S62" s="473" t="n">
        <v>26.7986244203286</v>
      </c>
      <c r="T62" s="472" t="n">
        <v>0.0909995135527133</v>
      </c>
      <c r="U62" s="472" t="n">
        <v>0.181834629126283</v>
      </c>
      <c r="V62" s="472" t="n">
        <v>0.0611964895937042</v>
      </c>
      <c r="W62" s="472" t="n">
        <v>0.294533681571611</v>
      </c>
      <c r="X62" s="472" t="n">
        <v>0.235230568888767</v>
      </c>
      <c r="Y62" s="472" t="n">
        <v>0.251509557415491</v>
      </c>
      <c r="Z62" s="472" t="n">
        <v>0.251509557415491</v>
      </c>
      <c r="AA62" s="474" t="n">
        <v>0.40350161244367</v>
      </c>
    </row>
    <row r="63" customFormat="false" ht="13.5" hidden="false" customHeight="true" outlineLevel="0" collapsed="false">
      <c r="A63" s="471" t="s">
        <v>1130</v>
      </c>
      <c r="B63" s="263" t="n">
        <v>19</v>
      </c>
      <c r="C63" s="472" t="n">
        <v>0.000399166666666665</v>
      </c>
      <c r="D63" s="472" t="n">
        <v>0.0998268888979157</v>
      </c>
      <c r="E63" s="472" t="n">
        <v>0.176327732444589</v>
      </c>
      <c r="F63" s="472" t="n">
        <v>0.268007540499533</v>
      </c>
      <c r="G63" s="473" t="n">
        <v>0.511884073790114</v>
      </c>
      <c r="H63" s="473" t="n">
        <v>0.563007176601541</v>
      </c>
      <c r="I63" s="472" t="n">
        <v>0.0646101200764287</v>
      </c>
      <c r="J63" s="472" t="n">
        <v>0.359253097000151</v>
      </c>
      <c r="K63" s="472" t="n">
        <v>0.050672</v>
      </c>
      <c r="L63" s="472" t="n">
        <v>0.193157164637267</v>
      </c>
      <c r="M63" s="472" t="n">
        <v>0.0594709573604671</v>
      </c>
      <c r="N63" s="473" t="n">
        <v>2.16488967393896</v>
      </c>
      <c r="O63" s="473" t="n">
        <v>1.69940700241352</v>
      </c>
      <c r="P63" s="473" t="n">
        <v>11.2378175894095</v>
      </c>
      <c r="Q63" s="473" t="n">
        <v>17.1610635741843</v>
      </c>
      <c r="R63" s="473" t="n">
        <v>2.28394156252412</v>
      </c>
      <c r="S63" s="473" t="n">
        <v>15.1804367659711</v>
      </c>
      <c r="T63" s="472" t="n">
        <v>0.128918036050926</v>
      </c>
      <c r="U63" s="472" t="n">
        <v>0.0326134257702391</v>
      </c>
      <c r="V63" s="472" t="n">
        <v>-0.00590393178705061</v>
      </c>
      <c r="W63" s="472" t="n">
        <v>0.0249028423632826</v>
      </c>
      <c r="X63" s="472" t="n">
        <v>0.138347339203487</v>
      </c>
      <c r="Y63" s="472" t="n">
        <v>0.230887673285723</v>
      </c>
      <c r="Z63" s="472" t="n">
        <v>0.230887673285723</v>
      </c>
      <c r="AA63" s="474" t="n">
        <v>0.0992329685461828</v>
      </c>
    </row>
    <row r="64" customFormat="false" ht="13.5" hidden="false" customHeight="true" outlineLevel="0" collapsed="false">
      <c r="A64" s="471" t="s">
        <v>680</v>
      </c>
      <c r="B64" s="263" t="n">
        <v>190</v>
      </c>
      <c r="C64" s="472" t="n">
        <v>0.1259025625</v>
      </c>
      <c r="D64" s="472" t="n">
        <v>0.246434046710382</v>
      </c>
      <c r="E64" s="472" t="n">
        <v>0.0320308028063982</v>
      </c>
      <c r="F64" s="472" t="n">
        <v>0.0351297617343727</v>
      </c>
      <c r="G64" s="473" t="n">
        <v>0.400541849673112</v>
      </c>
      <c r="H64" s="473" t="n">
        <v>0.641798463576296</v>
      </c>
      <c r="I64" s="472" t="n">
        <v>0.0681242114755028</v>
      </c>
      <c r="J64" s="472" t="n">
        <v>0.263692870268929</v>
      </c>
      <c r="K64" s="472" t="n">
        <v>0.047306</v>
      </c>
      <c r="L64" s="472" t="n">
        <v>0.457885844004551</v>
      </c>
      <c r="M64" s="472" t="n">
        <v>0.0531766602092572</v>
      </c>
      <c r="N64" s="473" t="n">
        <v>0.146543277905704</v>
      </c>
      <c r="O64" s="473" t="n">
        <v>10.650570831823</v>
      </c>
      <c r="P64" s="473" t="n">
        <v>19.8711760034101</v>
      </c>
      <c r="Q64" s="473" t="n">
        <v>42.7252923460872</v>
      </c>
      <c r="R64" s="473" t="n">
        <v>1.9915152243762</v>
      </c>
      <c r="S64" s="473" t="n">
        <v>36.9544500671789</v>
      </c>
      <c r="T64" s="472" t="n">
        <v>1.39671699245857</v>
      </c>
      <c r="U64" s="472" t="n">
        <v>0.0360269799520742</v>
      </c>
      <c r="V64" s="472" t="n">
        <v>-0.127111883484487</v>
      </c>
      <c r="W64" s="472" t="n">
        <v>-0.575697739764745</v>
      </c>
      <c r="X64" s="472" t="n">
        <v>0.0503795433774178</v>
      </c>
      <c r="Y64" s="472" t="n">
        <v>1.94871955047566</v>
      </c>
      <c r="Z64" s="472" t="n">
        <v>1.94871955047566</v>
      </c>
      <c r="AA64" s="474" t="n">
        <v>0.222097724550247</v>
      </c>
    </row>
    <row r="65" customFormat="false" ht="13.5" hidden="false" customHeight="true" outlineLevel="0" collapsed="false">
      <c r="A65" s="471" t="s">
        <v>1131</v>
      </c>
      <c r="B65" s="263" t="n">
        <v>14</v>
      </c>
      <c r="C65" s="472" t="n">
        <v>0.286083333333333</v>
      </c>
      <c r="D65" s="472" t="n">
        <v>0.215265612497003</v>
      </c>
      <c r="E65" s="472" t="n">
        <v>0.0704335588478226</v>
      </c>
      <c r="F65" s="472" t="n">
        <v>0.252906692721055</v>
      </c>
      <c r="G65" s="473" t="n">
        <v>0.564103618717777</v>
      </c>
      <c r="H65" s="473" t="n">
        <v>0.843566061597488</v>
      </c>
      <c r="I65" s="472" t="n">
        <v>0.077123046347248</v>
      </c>
      <c r="J65" s="472" t="n">
        <v>0.521023373893407</v>
      </c>
      <c r="K65" s="472" t="n">
        <v>0.052913</v>
      </c>
      <c r="L65" s="472" t="n">
        <v>0.504531983629355</v>
      </c>
      <c r="M65" s="472" t="n">
        <v>0.0582342284274673</v>
      </c>
      <c r="N65" s="473" t="n">
        <v>0.349510673484404</v>
      </c>
      <c r="O65" s="473" t="n">
        <v>3.03351181593191</v>
      </c>
      <c r="P65" s="473" t="n">
        <v>10.2304985102199</v>
      </c>
      <c r="Q65" s="473" t="n">
        <v>13.4914609021214</v>
      </c>
      <c r="R65" s="473" t="n">
        <v>0.993484785249172</v>
      </c>
      <c r="S65" s="473" t="n">
        <v>11.3531634499059</v>
      </c>
      <c r="T65" s="472" t="n">
        <v>0.0164386883320177</v>
      </c>
      <c r="U65" s="472" t="n">
        <v>0.0105234655580732</v>
      </c>
      <c r="V65" s="472" t="n">
        <v>-0.0427041095373706</v>
      </c>
      <c r="W65" s="472" t="n">
        <v>-0.466168785737145</v>
      </c>
      <c r="X65" s="472" t="n">
        <v>0.0506054591091927</v>
      </c>
      <c r="Y65" s="472" t="n">
        <v>0</v>
      </c>
      <c r="Z65" s="472" t="n">
        <v>0</v>
      </c>
      <c r="AA65" s="474" t="n">
        <v>0.211919367006176</v>
      </c>
    </row>
    <row r="66" customFormat="false" ht="13.5" hidden="false" customHeight="true" outlineLevel="0" collapsed="false">
      <c r="A66" s="471" t="s">
        <v>1132</v>
      </c>
      <c r="B66" s="263" t="n">
        <v>12</v>
      </c>
      <c r="C66" s="472" t="n">
        <v>0.095968</v>
      </c>
      <c r="D66" s="472" t="n">
        <v>0.214517114914425</v>
      </c>
      <c r="E66" s="472" t="n">
        <v>0.0519492307149274</v>
      </c>
      <c r="F66" s="472" t="n">
        <v>0.170342252387927</v>
      </c>
      <c r="G66" s="473" t="n">
        <v>0.626953635859811</v>
      </c>
      <c r="H66" s="473" t="n">
        <v>0.80998647694574</v>
      </c>
      <c r="I66" s="472" t="n">
        <v>0.07562539687178</v>
      </c>
      <c r="J66" s="472" t="n">
        <v>0.312095353250234</v>
      </c>
      <c r="K66" s="472" t="n">
        <v>0.050672</v>
      </c>
      <c r="L66" s="472" t="n">
        <v>0.348789553524424</v>
      </c>
      <c r="M66" s="472" t="n">
        <v>0.0625034466539067</v>
      </c>
      <c r="N66" s="473" t="n">
        <v>0.246661701731233</v>
      </c>
      <c r="O66" s="473" t="n">
        <v>6.8261578648083</v>
      </c>
      <c r="P66" s="473" t="n">
        <v>17.2868700789077</v>
      </c>
      <c r="Q66" s="473" t="n">
        <v>26.8736840937155</v>
      </c>
      <c r="R66" s="473" t="n">
        <v>1.16396307132496</v>
      </c>
      <c r="S66" s="473" t="n">
        <v>40.2489878838349</v>
      </c>
      <c r="T66" s="472" t="n">
        <v>2.57167787286064</v>
      </c>
      <c r="U66" s="472" t="n">
        <v>0.0235554197229014</v>
      </c>
      <c r="V66" s="472" t="n">
        <v>0.00443867155664223</v>
      </c>
      <c r="W66" s="472" t="n">
        <v>0.965743921491532</v>
      </c>
      <c r="X66" s="472" t="n">
        <v>0.107675975075006</v>
      </c>
      <c r="Y66" s="472" t="n">
        <v>0.269633058984911</v>
      </c>
      <c r="Z66" s="472" t="n">
        <v>0.269633058984911</v>
      </c>
      <c r="AA66" s="474" t="n">
        <v>0.220876210249425</v>
      </c>
    </row>
    <row r="67" customFormat="false" ht="13.5" hidden="false" customHeight="true" outlineLevel="0" collapsed="false">
      <c r="A67" s="471" t="s">
        <v>1133</v>
      </c>
      <c r="B67" s="263" t="n">
        <v>54</v>
      </c>
      <c r="C67" s="472" t="n">
        <v>0.126271212121212</v>
      </c>
      <c r="D67" s="472" t="n">
        <v>0.028508268242877</v>
      </c>
      <c r="E67" s="472" t="n">
        <v>0.0594269740753487</v>
      </c>
      <c r="F67" s="472" t="n">
        <v>0.195804012598</v>
      </c>
      <c r="G67" s="473" t="n">
        <v>0.857586432662039</v>
      </c>
      <c r="H67" s="473" t="n">
        <v>0.965497406661045</v>
      </c>
      <c r="I67" s="472" t="n">
        <v>0.0825611843370826</v>
      </c>
      <c r="J67" s="472" t="n">
        <v>0.505596255690735</v>
      </c>
      <c r="K67" s="472" t="n">
        <v>0.052913</v>
      </c>
      <c r="L67" s="472" t="n">
        <v>0.197704029659795</v>
      </c>
      <c r="M67" s="472" t="n">
        <v>0.0740843404911978</v>
      </c>
      <c r="N67" s="473" t="n">
        <v>2.51689880598387</v>
      </c>
      <c r="O67" s="473" t="n">
        <v>1.46393018097264</v>
      </c>
      <c r="P67" s="473" t="n">
        <v>21.9510017362995</v>
      </c>
      <c r="Q67" s="473" t="n">
        <v>49.5922749698082</v>
      </c>
      <c r="R67" s="473" t="n">
        <v>3.06413435061393</v>
      </c>
      <c r="S67" s="473" t="n">
        <v>107.335255977598</v>
      </c>
      <c r="T67" s="472" t="n">
        <v>0.0982858003165681</v>
      </c>
      <c r="U67" s="472" t="n">
        <v>0.0116491488788012</v>
      </c>
      <c r="V67" s="472" t="n">
        <v>0.0246393511482805</v>
      </c>
      <c r="W67" s="472" t="n">
        <v>0.97597565944864</v>
      </c>
      <c r="X67" s="472" t="n">
        <v>0.0330328472643128</v>
      </c>
      <c r="Y67" s="472" t="n">
        <v>0.270525268080152</v>
      </c>
      <c r="Z67" s="472" t="n">
        <v>0.270525268080152</v>
      </c>
      <c r="AA67" s="474" t="n">
        <v>0.0284827562932238</v>
      </c>
    </row>
    <row r="68" customFormat="false" ht="13.5" hidden="false" customHeight="true" outlineLevel="0" collapsed="false">
      <c r="A68" s="471" t="s">
        <v>682</v>
      </c>
      <c r="B68" s="263" t="n">
        <v>49</v>
      </c>
      <c r="C68" s="472" t="n">
        <v>0.0914083333333333</v>
      </c>
      <c r="D68" s="472" t="n">
        <v>0.0969331006904999</v>
      </c>
      <c r="E68" s="472" t="n">
        <v>0.0802451269106516</v>
      </c>
      <c r="F68" s="472" t="n">
        <v>0.259801694693161</v>
      </c>
      <c r="G68" s="473" t="n">
        <v>0.73649871829927</v>
      </c>
      <c r="H68" s="473" t="n">
        <v>1.02347270022497</v>
      </c>
      <c r="I68" s="472" t="n">
        <v>0.0851468824300336</v>
      </c>
      <c r="J68" s="472" t="n">
        <v>0.483081303385845</v>
      </c>
      <c r="K68" s="472" t="n">
        <v>0.052913</v>
      </c>
      <c r="L68" s="472" t="n">
        <v>0.386467429201748</v>
      </c>
      <c r="M68" s="472" t="n">
        <v>0.0675772489837691</v>
      </c>
      <c r="N68" s="473" t="n">
        <v>1.2420065495162</v>
      </c>
      <c r="O68" s="473" t="n">
        <v>1.94042778252431</v>
      </c>
      <c r="P68" s="473" t="n">
        <v>10.3908723194284</v>
      </c>
      <c r="Q68" s="473" t="n">
        <v>23.9573246179466</v>
      </c>
      <c r="R68" s="473" t="n">
        <v>4.0276834572995</v>
      </c>
      <c r="S68" s="473" t="n">
        <v>119.014986919977</v>
      </c>
      <c r="T68" s="472" t="n">
        <v>0.150109309518245</v>
      </c>
      <c r="U68" s="472" t="n">
        <v>0.066875972742377</v>
      </c>
      <c r="V68" s="472" t="n">
        <v>0.0133536044238376</v>
      </c>
      <c r="W68" s="472" t="n">
        <v>0.0566294902900823</v>
      </c>
      <c r="X68" s="472" t="n">
        <v>-0.127611559717253</v>
      </c>
      <c r="Y68" s="472" t="n">
        <v>0.00562724438125783</v>
      </c>
      <c r="Z68" s="472" t="n">
        <v>0.00562724438125783</v>
      </c>
      <c r="AA68" s="474" t="n">
        <v>0.0806209674597053</v>
      </c>
    </row>
    <row r="69" customFormat="false" ht="13.5" hidden="false" customHeight="true" outlineLevel="0" collapsed="false">
      <c r="A69" s="471" t="s">
        <v>1134</v>
      </c>
      <c r="B69" s="263" t="n">
        <v>1</v>
      </c>
      <c r="C69" s="472" t="n">
        <v>0.0939</v>
      </c>
      <c r="D69" s="472" t="n">
        <v>0.0721395265423243</v>
      </c>
      <c r="E69" s="472" t="n">
        <v>0.101443381159144</v>
      </c>
      <c r="F69" s="472" t="n">
        <v>0.303585657370518</v>
      </c>
      <c r="G69" s="473" t="n">
        <v>0.577701698769343</v>
      </c>
      <c r="H69" s="473" t="n">
        <v>0.581332322395524</v>
      </c>
      <c r="I69" s="472" t="n">
        <v>0.0654274215788404</v>
      </c>
      <c r="J69" s="472" t="n">
        <v>0.192114251720911</v>
      </c>
      <c r="K69" s="472" t="n">
        <v>0.047306</v>
      </c>
      <c r="L69" s="472" t="n">
        <v>0.302976705649686</v>
      </c>
      <c r="M69" s="472" t="n">
        <v>0.0563538989578282</v>
      </c>
      <c r="N69" s="473" t="n">
        <v>2.01361212784278</v>
      </c>
      <c r="O69" s="473" t="n">
        <v>0.65265028118587</v>
      </c>
      <c r="P69" s="473" t="n">
        <v>8.67090294946965</v>
      </c>
      <c r="Q69" s="473" t="n">
        <v>9.02194839260939</v>
      </c>
      <c r="R69" s="473" t="n">
        <v>1.02311753902663</v>
      </c>
      <c r="S69" s="473" t="n">
        <v>15.421107266436</v>
      </c>
      <c r="T69" s="472" t="n">
        <v>0.0142575322812052</v>
      </c>
      <c r="U69" s="472" t="n">
        <v>0</v>
      </c>
      <c r="V69" s="472" t="n">
        <v>-0.00223278335724534</v>
      </c>
      <c r="W69" s="472" t="n">
        <v>0.308993299818283</v>
      </c>
      <c r="X69" s="472" t="n">
        <v>0.077918576435697</v>
      </c>
      <c r="Y69" s="472" t="n">
        <v>0.273356401384083</v>
      </c>
      <c r="Z69" s="472" t="n">
        <v>0.273356401384083</v>
      </c>
      <c r="AA69" s="474" t="n">
        <v>0.0723402809220799</v>
      </c>
    </row>
    <row r="70" customFormat="false" ht="13.5" hidden="false" customHeight="true" outlineLevel="0" collapsed="false">
      <c r="A70" s="471" t="s">
        <v>1135</v>
      </c>
      <c r="B70" s="263" t="n">
        <v>64</v>
      </c>
      <c r="C70" s="472" t="n">
        <v>0.139353846153846</v>
      </c>
      <c r="D70" s="472" t="n">
        <v>0.15787862734303</v>
      </c>
      <c r="E70" s="472" t="n">
        <v>0.183604362937683</v>
      </c>
      <c r="F70" s="472" t="n">
        <v>0.21305758814255</v>
      </c>
      <c r="G70" s="473" t="n">
        <v>0.783007382355078</v>
      </c>
      <c r="H70" s="473" t="n">
        <v>0.924087314780326</v>
      </c>
      <c r="I70" s="472" t="n">
        <v>0.0807142942392025</v>
      </c>
      <c r="J70" s="472" t="n">
        <v>0.411494619604859</v>
      </c>
      <c r="K70" s="472" t="n">
        <v>0.050672</v>
      </c>
      <c r="L70" s="472" t="n">
        <v>0.213958927636473</v>
      </c>
      <c r="M70" s="472" t="n">
        <v>0.0715760454847445</v>
      </c>
      <c r="N70" s="473" t="n">
        <v>1.51285654737222</v>
      </c>
      <c r="O70" s="473" t="n">
        <v>4.16551439223226</v>
      </c>
      <c r="P70" s="473" t="n">
        <v>17.4942960527822</v>
      </c>
      <c r="Q70" s="473" t="n">
        <v>30.1511897079547</v>
      </c>
      <c r="R70" s="473" t="n">
        <v>74.7353186361567</v>
      </c>
      <c r="S70" s="473" t="n">
        <v>48.3288627567371</v>
      </c>
      <c r="T70" s="472" t="n">
        <v>0.0279065138233857</v>
      </c>
      <c r="U70" s="472" t="n">
        <v>0.0598315600961671</v>
      </c>
      <c r="V70" s="472" t="n">
        <v>0.0369162035747698</v>
      </c>
      <c r="W70" s="472" t="n">
        <v>0.376132026470058</v>
      </c>
      <c r="X70" s="472" t="n">
        <v>0.00102751183004746</v>
      </c>
      <c r="Y70" s="472" t="n">
        <v>0.64541139642752</v>
      </c>
      <c r="Z70" s="472" t="n">
        <v>0.64541139642752</v>
      </c>
      <c r="AA70" s="474" t="n">
        <v>0.138838349113867</v>
      </c>
    </row>
    <row r="71" customFormat="false" ht="13.5" hidden="false" customHeight="true" outlineLevel="0" collapsed="false">
      <c r="A71" s="471" t="s">
        <v>1136</v>
      </c>
      <c r="B71" s="263" t="n">
        <v>34</v>
      </c>
      <c r="C71" s="472" t="n">
        <v>0.154219523809524</v>
      </c>
      <c r="D71" s="472" t="n">
        <v>0.0624392605864288</v>
      </c>
      <c r="E71" s="472" t="n">
        <v>0.121904762936161</v>
      </c>
      <c r="F71" s="472" t="n">
        <v>0.225225127760401</v>
      </c>
      <c r="G71" s="473" t="n">
        <v>0.713248607812822</v>
      </c>
      <c r="H71" s="473" t="n">
        <v>0.9360151956833</v>
      </c>
      <c r="I71" s="472" t="n">
        <v>0.0812462777274752</v>
      </c>
      <c r="J71" s="472" t="n">
        <v>0.445820956970303</v>
      </c>
      <c r="K71" s="472" t="n">
        <v>0.050672</v>
      </c>
      <c r="L71" s="472" t="n">
        <v>0.312031037234781</v>
      </c>
      <c r="M71" s="472" t="n">
        <v>0.0677533449557766</v>
      </c>
      <c r="N71" s="473" t="n">
        <v>2.34107728645731</v>
      </c>
      <c r="O71" s="473" t="n">
        <v>1.27056740968803</v>
      </c>
      <c r="P71" s="473" t="n">
        <v>14.7872898576383</v>
      </c>
      <c r="Q71" s="473" t="n">
        <v>21.7263285243437</v>
      </c>
      <c r="R71" s="473" t="n">
        <v>7.47867003325012</v>
      </c>
      <c r="S71" s="473" t="n">
        <v>54.826415084049</v>
      </c>
      <c r="T71" s="472" t="n">
        <v>0.110330172741974</v>
      </c>
      <c r="U71" s="472" t="n">
        <v>0.0212340370229387</v>
      </c>
      <c r="V71" s="472" t="n">
        <v>0.0225058424523005</v>
      </c>
      <c r="W71" s="472" t="n">
        <v>0.461778096222205</v>
      </c>
      <c r="X71" s="472" t="n">
        <v>0.343840647302544</v>
      </c>
      <c r="Y71" s="472" t="n">
        <v>0.0677833989770805</v>
      </c>
      <c r="Z71" s="472" t="n">
        <v>0.0677833989770805</v>
      </c>
      <c r="AA71" s="474" t="n">
        <v>0.0583825886047186</v>
      </c>
    </row>
    <row r="72" customFormat="false" ht="13.5" hidden="false" customHeight="true" outlineLevel="0" collapsed="false">
      <c r="A72" s="471" t="s">
        <v>1137</v>
      </c>
      <c r="B72" s="263" t="n">
        <v>14</v>
      </c>
      <c r="C72" s="472" t="n">
        <v>0.00733416666666666</v>
      </c>
      <c r="D72" s="472" t="n">
        <v>0.119385297038169</v>
      </c>
      <c r="E72" s="472" t="n">
        <v>0.349465652448574</v>
      </c>
      <c r="F72" s="472" t="n">
        <v>0.24093993307491</v>
      </c>
      <c r="G72" s="473" t="n">
        <v>1.31765706609748</v>
      </c>
      <c r="H72" s="473" t="n">
        <v>1.53530943402917</v>
      </c>
      <c r="I72" s="472" t="n">
        <v>0.107974800757701</v>
      </c>
      <c r="J72" s="472" t="n">
        <v>0.458835056902551</v>
      </c>
      <c r="K72" s="472" t="n">
        <v>0.052913</v>
      </c>
      <c r="L72" s="472" t="n">
        <v>0.188899065813112</v>
      </c>
      <c r="M72" s="472" t="n">
        <v>0.0950748739652414</v>
      </c>
      <c r="N72" s="473" t="n">
        <v>3.40705731335509</v>
      </c>
      <c r="O72" s="473" t="n">
        <v>2.25899267612439</v>
      </c>
      <c r="P72" s="473" t="n">
        <v>14.4221816452556</v>
      </c>
      <c r="Q72" s="473" t="n">
        <v>19.1027719531394</v>
      </c>
      <c r="R72" s="473" t="n">
        <v>132.204407116864</v>
      </c>
      <c r="S72" s="473" t="n">
        <v>23.4652767182357</v>
      </c>
      <c r="T72" s="472" t="n">
        <v>0.0960738019351447</v>
      </c>
      <c r="U72" s="472" t="n">
        <v>0.0242020853228654</v>
      </c>
      <c r="V72" s="472" t="n">
        <v>0.0575484964943184</v>
      </c>
      <c r="W72" s="472" t="n">
        <v>0.735155479922161</v>
      </c>
      <c r="X72" s="472" t="s">
        <v>1093</v>
      </c>
      <c r="Y72" s="472" t="n">
        <v>0.540074740547756</v>
      </c>
      <c r="Z72" s="472" t="n">
        <v>0.540074740547756</v>
      </c>
      <c r="AA72" s="474" t="n">
        <v>0.118090393464428</v>
      </c>
    </row>
    <row r="73" customFormat="false" ht="13.5" hidden="false" customHeight="true" outlineLevel="0" collapsed="false">
      <c r="A73" s="471" t="s">
        <v>1138</v>
      </c>
      <c r="B73" s="263" t="n">
        <v>62</v>
      </c>
      <c r="C73" s="472" t="n">
        <v>0.101151666666667</v>
      </c>
      <c r="D73" s="472" t="n">
        <v>0.100971629455973</v>
      </c>
      <c r="E73" s="472" t="n">
        <v>0.161139906669528</v>
      </c>
      <c r="F73" s="472" t="n">
        <v>0.234042439252279</v>
      </c>
      <c r="G73" s="473" t="n">
        <v>0.801632028883096</v>
      </c>
      <c r="H73" s="473" t="n">
        <v>0.948433814572703</v>
      </c>
      <c r="I73" s="472" t="n">
        <v>0.0818001481299426</v>
      </c>
      <c r="J73" s="472" t="n">
        <v>0.392923516397966</v>
      </c>
      <c r="K73" s="472" t="n">
        <v>0.050672</v>
      </c>
      <c r="L73" s="472" t="n">
        <v>0.220190008048417</v>
      </c>
      <c r="M73" s="472" t="n">
        <v>0.0721566739207208</v>
      </c>
      <c r="N73" s="473" t="n">
        <v>1.83013060242737</v>
      </c>
      <c r="O73" s="473" t="n">
        <v>1.89480219177548</v>
      </c>
      <c r="P73" s="473" t="n">
        <v>13.7083073279968</v>
      </c>
      <c r="Q73" s="473" t="n">
        <v>17.1090896182241</v>
      </c>
      <c r="R73" s="473" t="n">
        <v>4.04170735992341</v>
      </c>
      <c r="S73" s="473" t="n">
        <v>28.7965990567176</v>
      </c>
      <c r="T73" s="472" t="n">
        <v>0.174281636661878</v>
      </c>
      <c r="U73" s="472" t="n">
        <v>0.0561546199532657</v>
      </c>
      <c r="V73" s="472" t="n">
        <v>0.115792693288742</v>
      </c>
      <c r="W73" s="472" t="n">
        <v>1.52206758783499</v>
      </c>
      <c r="X73" s="472" t="n">
        <v>0.183337324273327</v>
      </c>
      <c r="Y73" s="472" t="n">
        <v>0.35151398729797</v>
      </c>
      <c r="Z73" s="472" t="n">
        <v>0.35151398729797</v>
      </c>
      <c r="AA73" s="474" t="n">
        <v>0.103210206138163</v>
      </c>
    </row>
    <row r="74" customFormat="false" ht="13.5" hidden="false" customHeight="true" outlineLevel="0" collapsed="false">
      <c r="A74" s="471" t="s">
        <v>1139</v>
      </c>
      <c r="B74" s="263" t="n">
        <v>23</v>
      </c>
      <c r="C74" s="472" t="n">
        <v>0.0992176470588235</v>
      </c>
      <c r="D74" s="472" t="n">
        <v>0.0680233344502507</v>
      </c>
      <c r="E74" s="472" t="n">
        <v>0.135908253848076</v>
      </c>
      <c r="F74" s="472" t="n">
        <v>0.199328354788769</v>
      </c>
      <c r="G74" s="473" t="n">
        <v>0.780928039998447</v>
      </c>
      <c r="H74" s="473" t="n">
        <v>0.805240539591286</v>
      </c>
      <c r="I74" s="472" t="n">
        <v>0.0754137280657714</v>
      </c>
      <c r="J74" s="472" t="n">
        <v>0.433427459331772</v>
      </c>
      <c r="K74" s="472" t="n">
        <v>0.050672</v>
      </c>
      <c r="L74" s="472" t="n">
        <v>0.0735910047808918</v>
      </c>
      <c r="M74" s="472" t="n">
        <v>0.0726607085888313</v>
      </c>
      <c r="N74" s="473" t="n">
        <v>3.50631839900709</v>
      </c>
      <c r="O74" s="473" t="n">
        <v>2.1092145816584</v>
      </c>
      <c r="P74" s="473" t="n">
        <v>17.3785033357186</v>
      </c>
      <c r="Q74" s="473" t="n">
        <v>32.4376517932853</v>
      </c>
      <c r="R74" s="473" t="n">
        <v>7.19270712444991</v>
      </c>
      <c r="S74" s="473" t="n">
        <v>51.0040211017659</v>
      </c>
      <c r="T74" s="472" t="n">
        <v>-0.00109286986944208</v>
      </c>
      <c r="U74" s="472" t="n">
        <v>0.0817512145148738</v>
      </c>
      <c r="V74" s="472" t="n">
        <v>0.048661672732137</v>
      </c>
      <c r="W74" s="472" t="n">
        <v>0.939659344550825</v>
      </c>
      <c r="X74" s="472" t="n">
        <v>0.26052308288353</v>
      </c>
      <c r="Y74" s="472" t="n">
        <v>0.117268601201914</v>
      </c>
      <c r="Z74" s="472" t="n">
        <v>0.117268601201914</v>
      </c>
      <c r="AA74" s="474" t="n">
        <v>0.0711643313205802</v>
      </c>
    </row>
    <row r="75" customFormat="false" ht="13.5" hidden="false" customHeight="true" outlineLevel="0" collapsed="false">
      <c r="A75" s="471" t="s">
        <v>1140</v>
      </c>
      <c r="B75" s="263" t="n">
        <v>15</v>
      </c>
      <c r="C75" s="472" t="n">
        <v>-0.02634</v>
      </c>
      <c r="D75" s="472" t="n">
        <v>0.0229190428436556</v>
      </c>
      <c r="E75" s="472" t="n">
        <v>0.0676321956021433</v>
      </c>
      <c r="F75" s="472" t="n">
        <v>0.168325078793336</v>
      </c>
      <c r="G75" s="473" t="n">
        <v>0.848361117691952</v>
      </c>
      <c r="H75" s="473" t="n">
        <v>1.11830379449311</v>
      </c>
      <c r="I75" s="472" t="n">
        <v>0.0893763492343929</v>
      </c>
      <c r="J75" s="472" t="n">
        <v>0.494229483585248</v>
      </c>
      <c r="K75" s="472" t="n">
        <v>0.052913</v>
      </c>
      <c r="L75" s="472" t="n">
        <v>0.341889525326874</v>
      </c>
      <c r="M75" s="472" t="n">
        <v>0.072387311959413</v>
      </c>
      <c r="N75" s="473" t="n">
        <v>4.64789658753089</v>
      </c>
      <c r="O75" s="473" t="n">
        <v>0.490094991256691</v>
      </c>
      <c r="P75" s="473" t="n">
        <v>8.94159661279415</v>
      </c>
      <c r="Q75" s="473" t="n">
        <v>26.5332894075953</v>
      </c>
      <c r="R75" s="473" t="n">
        <v>3.93486938632371</v>
      </c>
      <c r="S75" s="473" t="n">
        <v>20.5414512450264</v>
      </c>
      <c r="T75" s="472" t="n">
        <v>0.000610195940551813</v>
      </c>
      <c r="U75" s="472" t="n">
        <v>-0.00128627847675528</v>
      </c>
      <c r="V75" s="472" t="n">
        <v>-0.0190209647495033</v>
      </c>
      <c r="W75" s="472" t="n">
        <v>-0.986095767319352</v>
      </c>
      <c r="X75" s="472" t="n">
        <v>0.128975740478353</v>
      </c>
      <c r="Y75" s="472" t="n">
        <v>0.374369182997856</v>
      </c>
      <c r="Z75" s="472" t="n">
        <v>0.374369182997856</v>
      </c>
      <c r="AA75" s="474" t="n">
        <v>0.0172711293405856</v>
      </c>
    </row>
    <row r="76" customFormat="false" ht="13.5" hidden="false" customHeight="true" outlineLevel="0" collapsed="false">
      <c r="A76" s="471" t="s">
        <v>1141</v>
      </c>
      <c r="B76" s="263" t="n">
        <v>26</v>
      </c>
      <c r="C76" s="472" t="n">
        <v>0.131436</v>
      </c>
      <c r="D76" s="472" t="n">
        <v>0.402482894112865</v>
      </c>
      <c r="E76" s="472" t="n">
        <v>0.0516395310830798</v>
      </c>
      <c r="F76" s="472" t="n">
        <v>0.015307416234544</v>
      </c>
      <c r="G76" s="473" t="n">
        <v>0.442715972660596</v>
      </c>
      <c r="H76" s="473" t="n">
        <v>0.620739021744814</v>
      </c>
      <c r="I76" s="472" t="n">
        <v>0.0671849603698187</v>
      </c>
      <c r="J76" s="472" t="n">
        <v>0.18768911101931</v>
      </c>
      <c r="K76" s="472" t="n">
        <v>0.047306</v>
      </c>
      <c r="L76" s="472" t="n">
        <v>0.36069480685135</v>
      </c>
      <c r="M76" s="472" t="n">
        <v>0.0557489654655938</v>
      </c>
      <c r="N76" s="473" t="n">
        <v>0.135814110257787</v>
      </c>
      <c r="O76" s="473" t="n">
        <v>12.0436348617956</v>
      </c>
      <c r="P76" s="473" t="n">
        <v>16.7268614377028</v>
      </c>
      <c r="Q76" s="473" t="n">
        <v>31.1652714639594</v>
      </c>
      <c r="R76" s="473" t="n">
        <v>2.07565447564478</v>
      </c>
      <c r="S76" s="473" t="n">
        <v>368.686930617691</v>
      </c>
      <c r="T76" s="472" t="n">
        <v>0.0124443917530429</v>
      </c>
      <c r="U76" s="472" t="n">
        <v>0.0503730927594487</v>
      </c>
      <c r="V76" s="472" t="n">
        <v>-0.228546582962612</v>
      </c>
      <c r="W76" s="472" t="n">
        <v>-0.613193199063411</v>
      </c>
      <c r="X76" s="472" t="n">
        <v>0.0636437540035101</v>
      </c>
      <c r="Y76" s="472" t="n">
        <v>1.61433391076369</v>
      </c>
      <c r="Z76" s="472" t="n">
        <v>1.61433391076369</v>
      </c>
      <c r="AA76" s="474" t="n">
        <v>0.386444086512235</v>
      </c>
    </row>
    <row r="77" customFormat="false" ht="13.5" hidden="false" customHeight="true" outlineLevel="0" collapsed="false">
      <c r="A77" s="471" t="s">
        <v>684</v>
      </c>
      <c r="B77" s="263" t="n">
        <v>94</v>
      </c>
      <c r="C77" s="472" t="n">
        <v>0.0696043333333333</v>
      </c>
      <c r="D77" s="472" t="n">
        <v>0.0772735445034368</v>
      </c>
      <c r="E77" s="472" t="n">
        <v>0.215390934656582</v>
      </c>
      <c r="F77" s="472" t="n">
        <v>0.244149524999507</v>
      </c>
      <c r="G77" s="473" t="n">
        <v>1.00187757903181</v>
      </c>
      <c r="H77" s="473" t="n">
        <v>1.08939968029247</v>
      </c>
      <c r="I77" s="472" t="n">
        <v>0.088087225741044</v>
      </c>
      <c r="J77" s="472" t="n">
        <v>0.532451674755821</v>
      </c>
      <c r="K77" s="472" t="n">
        <v>0.052913</v>
      </c>
      <c r="L77" s="472" t="n">
        <v>0.165003484848689</v>
      </c>
      <c r="M77" s="472" t="n">
        <v>0.0801006485684676</v>
      </c>
      <c r="N77" s="473" t="n">
        <v>2.98844717708956</v>
      </c>
      <c r="O77" s="473" t="n">
        <v>1.62608387057357</v>
      </c>
      <c r="P77" s="473" t="n">
        <v>11.4675493430743</v>
      </c>
      <c r="Q77" s="473" t="n">
        <v>20.0177959466746</v>
      </c>
      <c r="R77" s="473" t="n">
        <v>7.25426333951697</v>
      </c>
      <c r="S77" s="473" t="n">
        <v>314.009761634912</v>
      </c>
      <c r="T77" s="472" t="n">
        <v>0.0980287969248003</v>
      </c>
      <c r="U77" s="472" t="n">
        <v>0.0346739381407973</v>
      </c>
      <c r="V77" s="472" t="n">
        <v>0.0159031788253407</v>
      </c>
      <c r="W77" s="472" t="n">
        <v>0.383654060264348</v>
      </c>
      <c r="X77" s="472" t="n">
        <v>0.301150755894425</v>
      </c>
      <c r="Y77" s="472" t="n">
        <v>0.299331685025426</v>
      </c>
      <c r="Z77" s="472" t="n">
        <v>0.299331685025426</v>
      </c>
      <c r="AA77" s="474" t="n">
        <v>0.0807516290346101</v>
      </c>
    </row>
    <row r="78" customFormat="false" ht="13.5" hidden="false" customHeight="true" outlineLevel="0" collapsed="false">
      <c r="A78" s="471" t="s">
        <v>1142</v>
      </c>
      <c r="B78" s="263" t="n">
        <v>3</v>
      </c>
      <c r="C78" s="472" t="n">
        <v>-0.13225</v>
      </c>
      <c r="D78" s="472" t="n">
        <v>0.0224236987664809</v>
      </c>
      <c r="E78" s="472" t="n">
        <v>0.0316814725945709</v>
      </c>
      <c r="F78" s="472" t="e">
        <f aca="false">#DIV/0!</f>
        <v>#DIV/0!</v>
      </c>
      <c r="G78" s="473" t="n">
        <v>0.154357908148288</v>
      </c>
      <c r="H78" s="473" t="n">
        <v>0.529430157413534</v>
      </c>
      <c r="I78" s="472" t="n">
        <v>0.0631125850206436</v>
      </c>
      <c r="J78" s="472" t="n">
        <v>0.50767160367362</v>
      </c>
      <c r="K78" s="472" t="n">
        <v>0.052913</v>
      </c>
      <c r="L78" s="472" t="n">
        <v>0.781884342962949</v>
      </c>
      <c r="M78" s="472" t="n">
        <v>0.0447947276284833</v>
      </c>
      <c r="N78" s="473" t="n">
        <v>1.3941683441358</v>
      </c>
      <c r="O78" s="473" t="n">
        <v>0.588447595154089</v>
      </c>
      <c r="P78" s="473" t="n">
        <v>6.74402471699488</v>
      </c>
      <c r="Q78" s="473" t="n">
        <v>22.8416286007889</v>
      </c>
      <c r="R78" s="473" t="n">
        <v>0.789149706580098</v>
      </c>
      <c r="S78" s="473" t="e">
        <f aca="false">#DIV/0!</f>
        <v>#DIV/0!</v>
      </c>
      <c r="T78" s="472" t="n">
        <v>0.129281459978194</v>
      </c>
      <c r="U78" s="472" t="n">
        <v>0.0505025963794279</v>
      </c>
      <c r="V78" s="472" t="n">
        <v>-0.00032632866871334</v>
      </c>
      <c r="W78" s="472" t="n">
        <v>0.38647251467954</v>
      </c>
      <c r="X78" s="472" t="n">
        <v>-0.364080008377841</v>
      </c>
      <c r="Y78" s="472" t="e">
        <f aca="false">#DIV/0!</f>
        <v>#DIV/0!</v>
      </c>
      <c r="Z78" s="472" t="e">
        <f aca="false">#DIV/0!</f>
        <v>#DIV/0!</v>
      </c>
      <c r="AA78" s="474" t="n">
        <v>0.0249469785677154</v>
      </c>
    </row>
    <row r="79" customFormat="false" ht="13.5" hidden="false" customHeight="true" outlineLevel="0" collapsed="false">
      <c r="A79" s="471" t="s">
        <v>688</v>
      </c>
      <c r="B79" s="263" t="n">
        <v>66</v>
      </c>
      <c r="C79" s="472" t="n">
        <v>0.111771304347826</v>
      </c>
      <c r="D79" s="472" t="n">
        <v>0.353277919142526</v>
      </c>
      <c r="E79" s="472" t="n">
        <v>0.272269668351336</v>
      </c>
      <c r="F79" s="472" t="n">
        <v>0.157904182125423</v>
      </c>
      <c r="G79" s="473" t="n">
        <v>1.50464927547443</v>
      </c>
      <c r="H79" s="473" t="n">
        <v>1.51819940290549</v>
      </c>
      <c r="I79" s="472" t="n">
        <v>0.107211693369585</v>
      </c>
      <c r="J79" s="472" t="n">
        <v>0.558272081801033</v>
      </c>
      <c r="K79" s="472" t="n">
        <v>0.052913</v>
      </c>
      <c r="L79" s="472" t="n">
        <v>0.0252566218045364</v>
      </c>
      <c r="M79" s="472" t="n">
        <v>0.105506190899283</v>
      </c>
      <c r="N79" s="473" t="n">
        <v>1.20666813805875</v>
      </c>
      <c r="O79" s="473" t="n">
        <v>15.7006493827806</v>
      </c>
      <c r="P79" s="473" t="n">
        <v>34.7530988057528</v>
      </c>
      <c r="Q79" s="473" t="n">
        <v>44.2986309983463</v>
      </c>
      <c r="R79" s="473" t="n">
        <v>13.3121762094614</v>
      </c>
      <c r="S79" s="473" t="n">
        <v>100.184403342825</v>
      </c>
      <c r="T79" s="472" t="n">
        <v>0.226179810535676</v>
      </c>
      <c r="U79" s="472" t="n">
        <v>0.105489712319814</v>
      </c>
      <c r="V79" s="472" t="n">
        <v>0.0441191207864163</v>
      </c>
      <c r="W79" s="472" t="n">
        <v>0.352857981850037</v>
      </c>
      <c r="X79" s="472" t="n">
        <v>0.313647157765139</v>
      </c>
      <c r="Y79" s="472" t="n">
        <v>0.163921671873215</v>
      </c>
      <c r="Z79" s="472" t="n">
        <v>0.163921671873215</v>
      </c>
      <c r="AA79" s="474" t="n">
        <v>0.364667184385368</v>
      </c>
    </row>
    <row r="80" customFormat="false" ht="13.5" hidden="false" customHeight="true" outlineLevel="0" collapsed="false">
      <c r="A80" s="471" t="s">
        <v>1143</v>
      </c>
      <c r="B80" s="263" t="n">
        <v>31</v>
      </c>
      <c r="C80" s="472" t="n">
        <v>0.0937880769230769</v>
      </c>
      <c r="D80" s="472" t="n">
        <v>0.261711745778515</v>
      </c>
      <c r="E80" s="472" t="n">
        <v>0.284044630684121</v>
      </c>
      <c r="F80" s="472" t="n">
        <v>0.170659783451544</v>
      </c>
      <c r="G80" s="473" t="n">
        <v>1.39169115633739</v>
      </c>
      <c r="H80" s="473" t="n">
        <v>1.39722342473943</v>
      </c>
      <c r="I80" s="472" t="n">
        <v>0.101816164743379</v>
      </c>
      <c r="J80" s="472" t="n">
        <v>0.50077408619264</v>
      </c>
      <c r="K80" s="472" t="n">
        <v>0.052913</v>
      </c>
      <c r="L80" s="472" t="n">
        <v>0.0463590191001797</v>
      </c>
      <c r="M80" s="472" t="n">
        <v>0.0989358133005693</v>
      </c>
      <c r="N80" s="473" t="n">
        <v>1.85110867228321</v>
      </c>
      <c r="O80" s="473" t="n">
        <v>7.60700904339778</v>
      </c>
      <c r="P80" s="473" t="n">
        <v>24.7432463754865</v>
      </c>
      <c r="Q80" s="473" t="n">
        <v>28.8106719523364</v>
      </c>
      <c r="R80" s="473" t="n">
        <v>9.702593586232</v>
      </c>
      <c r="S80" s="473" t="n">
        <v>46.8252340629288</v>
      </c>
      <c r="T80" s="472" t="n">
        <v>0.294935665392614</v>
      </c>
      <c r="U80" s="472" t="n">
        <v>0.0631591903770945</v>
      </c>
      <c r="V80" s="472" t="n">
        <v>0.0413686844237411</v>
      </c>
      <c r="W80" s="472" t="n">
        <v>0.274531021709542</v>
      </c>
      <c r="X80" s="472" t="n">
        <v>0.357779731627476</v>
      </c>
      <c r="Y80" s="472" t="n">
        <v>0.193564435440795</v>
      </c>
      <c r="Z80" s="472" t="n">
        <v>0.193564435440795</v>
      </c>
      <c r="AA80" s="474" t="n">
        <v>0.268634995359437</v>
      </c>
    </row>
    <row r="81" customFormat="false" ht="13.5" hidden="false" customHeight="true" outlineLevel="0" collapsed="false">
      <c r="A81" s="471" t="s">
        <v>1144</v>
      </c>
      <c r="B81" s="263" t="n">
        <v>8</v>
      </c>
      <c r="C81" s="472" t="n">
        <v>-0.00118</v>
      </c>
      <c r="D81" s="472" t="n">
        <v>0.126021238838048</v>
      </c>
      <c r="E81" s="472" t="n">
        <v>0.119923329438379</v>
      </c>
      <c r="F81" s="472" t="n">
        <v>0.205779981014661</v>
      </c>
      <c r="G81" s="473" t="n">
        <v>0.660766799949051</v>
      </c>
      <c r="H81" s="473" t="n">
        <v>0.752932538037151</v>
      </c>
      <c r="I81" s="472" t="n">
        <v>0.0730807911964569</v>
      </c>
      <c r="J81" s="472" t="n">
        <v>0.500867632683849</v>
      </c>
      <c r="K81" s="472" t="n">
        <v>0.052913</v>
      </c>
      <c r="L81" s="472" t="n">
        <v>0.184007837316455</v>
      </c>
      <c r="M81" s="472" t="n">
        <v>0.0669356578809657</v>
      </c>
      <c r="N81" s="473" t="n">
        <v>0.936400727916788</v>
      </c>
      <c r="O81" s="473" t="n">
        <v>1.73625376165767</v>
      </c>
      <c r="P81" s="473" t="n">
        <v>7.95300749877978</v>
      </c>
      <c r="Q81" s="473" t="n">
        <v>12.8122853755459</v>
      </c>
      <c r="R81" s="473" t="n">
        <v>1.49921220967094</v>
      </c>
      <c r="S81" s="473" t="n">
        <v>18.8731766127535</v>
      </c>
      <c r="T81" s="472" t="n">
        <v>0.0962770037103616</v>
      </c>
      <c r="U81" s="472" t="n">
        <v>0.116734217360642</v>
      </c>
      <c r="V81" s="472" t="n">
        <v>0.0489188837106127</v>
      </c>
      <c r="W81" s="472" t="n">
        <v>0.36708062720816</v>
      </c>
      <c r="X81" s="472" t="n">
        <v>0.101536246135571</v>
      </c>
      <c r="Y81" s="472" t="n">
        <v>0.146651031247844</v>
      </c>
      <c r="Z81" s="472" t="n">
        <v>0.146651031247844</v>
      </c>
      <c r="AA81" s="474" t="n">
        <v>0.135173293029885</v>
      </c>
    </row>
    <row r="82" customFormat="false" ht="13.5" hidden="false" customHeight="true" outlineLevel="0" collapsed="false">
      <c r="A82" s="471" t="s">
        <v>690</v>
      </c>
      <c r="B82" s="263" t="n">
        <v>11</v>
      </c>
      <c r="C82" s="472" t="n">
        <v>0.124272857142857</v>
      </c>
      <c r="D82" s="472" t="n">
        <v>0.0903493188315683</v>
      </c>
      <c r="E82" s="472" t="n">
        <v>0.209296966596534</v>
      </c>
      <c r="F82" s="472" t="n">
        <v>0.189530678311892</v>
      </c>
      <c r="G82" s="473" t="n">
        <v>1.00018682352483</v>
      </c>
      <c r="H82" s="473" t="n">
        <v>1.01731832786126</v>
      </c>
      <c r="I82" s="472" t="n">
        <v>0.0848723974226123</v>
      </c>
      <c r="J82" s="472" t="n">
        <v>0.500827620601969</v>
      </c>
      <c r="K82" s="472" t="n">
        <v>0.052913</v>
      </c>
      <c r="L82" s="472" t="n">
        <v>0.106702018392841</v>
      </c>
      <c r="M82" s="472" t="n">
        <v>0.0800507842361955</v>
      </c>
      <c r="N82" s="473" t="n">
        <v>2.62210011120486</v>
      </c>
      <c r="O82" s="473" t="n">
        <v>2.04097652187197</v>
      </c>
      <c r="P82" s="473" t="n">
        <v>16.8647395238731</v>
      </c>
      <c r="Q82" s="473" t="n">
        <v>22.318821685005</v>
      </c>
      <c r="R82" s="473" t="n">
        <v>6.06029946049133</v>
      </c>
      <c r="S82" s="473" t="n">
        <v>24.4748276628436</v>
      </c>
      <c r="T82" s="472" t="n">
        <v>0.165553389721775</v>
      </c>
      <c r="U82" s="472" t="n">
        <v>0.0132604955208364</v>
      </c>
      <c r="V82" s="472" t="n">
        <v>0.00399259120353465</v>
      </c>
      <c r="W82" s="472" t="n">
        <v>0.1910578706045</v>
      </c>
      <c r="X82" s="472" t="n">
        <v>0.194897119341564</v>
      </c>
      <c r="Y82" s="472" t="n">
        <v>0.6493070127581</v>
      </c>
      <c r="Z82" s="472" t="n">
        <v>0.6493070127581</v>
      </c>
      <c r="AA82" s="474" t="n">
        <v>0.091491963483865</v>
      </c>
    </row>
    <row r="83" customFormat="false" ht="13.5" hidden="false" customHeight="true" outlineLevel="0" collapsed="false">
      <c r="A83" s="471" t="s">
        <v>1145</v>
      </c>
      <c r="B83" s="263" t="n">
        <v>77</v>
      </c>
      <c r="C83" s="472" t="n">
        <v>0.16715064516129</v>
      </c>
      <c r="D83" s="472" t="n">
        <v>0.338497123003109</v>
      </c>
      <c r="E83" s="472" t="n">
        <v>0.270191664077307</v>
      </c>
      <c r="F83" s="472" t="n">
        <v>0.224955661668464</v>
      </c>
      <c r="G83" s="473" t="n">
        <v>1.02069174272128</v>
      </c>
      <c r="H83" s="473" t="n">
        <v>1.02831124808476</v>
      </c>
      <c r="I83" s="472" t="n">
        <v>0.0853626816645802</v>
      </c>
      <c r="J83" s="472" t="n">
        <v>0.570618437065836</v>
      </c>
      <c r="K83" s="472" t="n">
        <v>0.052913</v>
      </c>
      <c r="L83" s="472" t="n">
        <v>0.0200364312772703</v>
      </c>
      <c r="M83" s="472" t="n">
        <v>0.084447458925895</v>
      </c>
      <c r="N83" s="473" t="n">
        <v>1.34474224640901</v>
      </c>
      <c r="O83" s="473" t="n">
        <v>9.12764468187753</v>
      </c>
      <c r="P83" s="473" t="n">
        <v>22.0142345905125</v>
      </c>
      <c r="Q83" s="473" t="n">
        <v>26.9760606090812</v>
      </c>
      <c r="R83" s="473" t="n">
        <v>9.09809515859231</v>
      </c>
      <c r="S83" s="473" t="n">
        <v>39.3402877313416</v>
      </c>
      <c r="T83" s="472" t="n">
        <v>0.0724795179890723</v>
      </c>
      <c r="U83" s="472" t="n">
        <v>0.229423905870027</v>
      </c>
      <c r="V83" s="472" t="n">
        <v>0.195211113228517</v>
      </c>
      <c r="W83" s="472" t="n">
        <v>0.823639423036462</v>
      </c>
      <c r="X83" s="472" t="n">
        <v>0.365088506050508</v>
      </c>
      <c r="Y83" s="472" t="n">
        <v>0.0833693366516741</v>
      </c>
      <c r="Z83" s="472" t="n">
        <v>0.0833693366516741</v>
      </c>
      <c r="AA83" s="474" t="n">
        <v>0.360005301915675</v>
      </c>
    </row>
    <row r="84" customFormat="false" ht="13.5" hidden="false" customHeight="true" outlineLevel="0" collapsed="false">
      <c r="A84" s="471" t="s">
        <v>1146</v>
      </c>
      <c r="B84" s="263" t="n">
        <v>29</v>
      </c>
      <c r="C84" s="472" t="n">
        <v>0.291795</v>
      </c>
      <c r="D84" s="472" t="n">
        <v>0.0368614199759326</v>
      </c>
      <c r="E84" s="472" t="n">
        <v>0.0343478019674156</v>
      </c>
      <c r="F84" s="472" t="n">
        <v>0.171467161536927</v>
      </c>
      <c r="G84" s="473" t="n">
        <v>1.59052508770831</v>
      </c>
      <c r="H84" s="473" t="n">
        <v>1.68867611616606</v>
      </c>
      <c r="I84" s="472" t="n">
        <v>0.114814954781006</v>
      </c>
      <c r="J84" s="472" t="n">
        <v>0.526123151821511</v>
      </c>
      <c r="K84" s="472" t="n">
        <v>0.052913</v>
      </c>
      <c r="L84" s="472" t="n">
        <v>0.109519417383778</v>
      </c>
      <c r="M84" s="472" t="n">
        <v>0.106586738525467</v>
      </c>
      <c r="N84" s="473" t="n">
        <v>1.35009677020328</v>
      </c>
      <c r="O84" s="473" t="n">
        <v>9.56103661868304</v>
      </c>
      <c r="P84" s="473" t="n">
        <v>30.2606038462683</v>
      </c>
      <c r="Q84" s="473" t="n">
        <v>172.989542059966</v>
      </c>
      <c r="R84" s="473" t="n">
        <v>10.855737135545</v>
      </c>
      <c r="S84" s="473" t="n">
        <v>67.2114365044658</v>
      </c>
      <c r="T84" s="472" t="n">
        <v>0.147978820697954</v>
      </c>
      <c r="U84" s="472" t="n">
        <v>0.336682771187898</v>
      </c>
      <c r="V84" s="472" t="n">
        <v>0.260111271101942</v>
      </c>
      <c r="W84" s="472" t="n">
        <v>14.1421393678699</v>
      </c>
      <c r="X84" s="472" t="n">
        <v>-0.0146996221749559</v>
      </c>
      <c r="Y84" s="472" t="n">
        <v>0.000220033908754624</v>
      </c>
      <c r="Z84" s="472" t="n">
        <v>0.00022003390875458</v>
      </c>
      <c r="AA84" s="474" t="n">
        <v>0.0470490077057177</v>
      </c>
    </row>
    <row r="85" customFormat="false" ht="13.5" hidden="false" customHeight="true" outlineLevel="0" collapsed="false">
      <c r="A85" s="471" t="s">
        <v>1147</v>
      </c>
      <c r="B85" s="263" t="n">
        <v>309</v>
      </c>
      <c r="C85" s="472" t="n">
        <v>0.195645</v>
      </c>
      <c r="D85" s="472" t="n">
        <v>0.329825137360477</v>
      </c>
      <c r="E85" s="472" t="n">
        <v>0.293184294928338</v>
      </c>
      <c r="F85" s="472" t="n">
        <v>0.180111828098695</v>
      </c>
      <c r="G85" s="473" t="n">
        <v>1.24819941746654</v>
      </c>
      <c r="H85" s="473" t="n">
        <v>1.27664817807818</v>
      </c>
      <c r="I85" s="472" t="n">
        <v>0.0964385087422866</v>
      </c>
      <c r="J85" s="472" t="n">
        <v>0.567893263294782</v>
      </c>
      <c r="K85" s="472" t="n">
        <v>0.052913</v>
      </c>
      <c r="L85" s="472" t="n">
        <v>0.0528251887579698</v>
      </c>
      <c r="M85" s="472" t="n">
        <v>0.0934404807240011</v>
      </c>
      <c r="N85" s="473" t="n">
        <v>1.53817158016854</v>
      </c>
      <c r="O85" s="473" t="n">
        <v>11.4087636730966</v>
      </c>
      <c r="P85" s="473" t="n">
        <v>24.4835357698254</v>
      </c>
      <c r="Q85" s="473" t="n">
        <v>32.4123394913612</v>
      </c>
      <c r="R85" s="473" t="n">
        <v>9.13708967699403</v>
      </c>
      <c r="S85" s="473" t="n">
        <v>79.1742086869903</v>
      </c>
      <c r="T85" s="472" t="n">
        <v>0.100462160669016</v>
      </c>
      <c r="U85" s="472" t="n">
        <v>0.177882853472071</v>
      </c>
      <c r="V85" s="472" t="n">
        <v>0.178206910479284</v>
      </c>
      <c r="W85" s="472" t="n">
        <v>0.737787447329164</v>
      </c>
      <c r="X85" s="472" t="n">
        <v>0.296248946912893</v>
      </c>
      <c r="Y85" s="472" t="n">
        <v>0.209842724130636</v>
      </c>
      <c r="Z85" s="472" t="n">
        <v>0.209842724130636</v>
      </c>
      <c r="AA85" s="474" t="n">
        <v>0.344493057846097</v>
      </c>
    </row>
    <row r="86" customFormat="false" ht="13.5" hidden="false" customHeight="true" outlineLevel="0" collapsed="false">
      <c r="A86" s="471" t="s">
        <v>1148</v>
      </c>
      <c r="B86" s="263" t="n">
        <v>19</v>
      </c>
      <c r="C86" s="472" t="n">
        <v>0.113735294117647</v>
      </c>
      <c r="D86" s="472" t="n">
        <v>0.0409591796384171</v>
      </c>
      <c r="E86" s="472" t="n">
        <v>0.0672025916141271</v>
      </c>
      <c r="F86" s="472" t="n">
        <v>0.205503819985556</v>
      </c>
      <c r="G86" s="473" t="n">
        <v>0.94494297510185</v>
      </c>
      <c r="H86" s="473" t="n">
        <v>1.06284624742621</v>
      </c>
      <c r="I86" s="472" t="n">
        <v>0.0869029426352087</v>
      </c>
      <c r="J86" s="472" t="n">
        <v>0.385098547939023</v>
      </c>
      <c r="K86" s="472" t="n">
        <v>0.050672</v>
      </c>
      <c r="L86" s="472" t="n">
        <v>0.190368136093396</v>
      </c>
      <c r="M86" s="472" t="n">
        <v>0.0775941420688062</v>
      </c>
      <c r="N86" s="473" t="n">
        <v>1.80368277562329</v>
      </c>
      <c r="O86" s="473" t="n">
        <v>1.16923750622406</v>
      </c>
      <c r="P86" s="473" t="n">
        <v>11.5909777899304</v>
      </c>
      <c r="Q86" s="473" t="n">
        <v>24.5596376529191</v>
      </c>
      <c r="R86" s="473" t="n">
        <v>1.87581628205375</v>
      </c>
      <c r="S86" s="473" t="n">
        <v>47.5753597348331</v>
      </c>
      <c r="T86" s="472" t="n">
        <v>0.216052134610552</v>
      </c>
      <c r="U86" s="472" t="n">
        <v>0.0652318284624595</v>
      </c>
      <c r="V86" s="472" t="n">
        <v>0.0569340343991603</v>
      </c>
      <c r="W86" s="472" t="n">
        <v>2.11488713048397</v>
      </c>
      <c r="X86" s="472" t="n">
        <v>0.0367917256623107</v>
      </c>
      <c r="Y86" s="472" t="n">
        <v>0.650603964819223</v>
      </c>
      <c r="Z86" s="472" t="n">
        <v>0.650603964819223</v>
      </c>
      <c r="AA86" s="474" t="n">
        <v>0.0410690268347785</v>
      </c>
    </row>
    <row r="87" customFormat="false" ht="13.5" hidden="false" customHeight="true" outlineLevel="0" collapsed="false">
      <c r="A87" s="471" t="s">
        <v>1149</v>
      </c>
      <c r="B87" s="263" t="n">
        <v>12</v>
      </c>
      <c r="C87" s="472" t="n">
        <v>0.0370014285714286</v>
      </c>
      <c r="D87" s="472" t="n">
        <v>0.20980028345141</v>
      </c>
      <c r="E87" s="472" t="n">
        <v>0.103720196144693</v>
      </c>
      <c r="F87" s="472" t="n">
        <v>0.229272447486907</v>
      </c>
      <c r="G87" s="473" t="n">
        <v>0.392420839853451</v>
      </c>
      <c r="H87" s="473" t="n">
        <v>0.538135273664014</v>
      </c>
      <c r="I87" s="472" t="n">
        <v>0.063500833205415</v>
      </c>
      <c r="J87" s="472" t="n">
        <v>0.401809996886784</v>
      </c>
      <c r="K87" s="472" t="n">
        <v>0.050672</v>
      </c>
      <c r="L87" s="472" t="n">
        <v>0.341874476507653</v>
      </c>
      <c r="M87" s="472" t="n">
        <v>0.0547841167007108</v>
      </c>
      <c r="N87" s="473" t="n">
        <v>0.547755760741675</v>
      </c>
      <c r="O87" s="473" t="n">
        <v>3.71703947591165</v>
      </c>
      <c r="P87" s="473" t="n">
        <v>8.97417509271724</v>
      </c>
      <c r="Q87" s="473" t="n">
        <v>18.8301867273793</v>
      </c>
      <c r="R87" s="473" t="n">
        <v>3.47189936412773</v>
      </c>
      <c r="S87" s="473" t="n">
        <v>107.135759432626</v>
      </c>
      <c r="T87" s="472" t="n">
        <v>0.120719049717561</v>
      </c>
      <c r="U87" s="472" t="n">
        <v>0.116408481914994</v>
      </c>
      <c r="V87" s="472" t="n">
        <v>0.00381854642325779</v>
      </c>
      <c r="W87" s="472" t="n">
        <v>0.164203206145434</v>
      </c>
      <c r="X87" s="472" t="n">
        <v>0.160613964961845</v>
      </c>
      <c r="Y87" s="472" t="n">
        <v>0.51447027608364</v>
      </c>
      <c r="Z87" s="472" t="n">
        <v>0.51447027608364</v>
      </c>
      <c r="AA87" s="474" t="n">
        <v>0.197499913384215</v>
      </c>
    </row>
    <row r="88" customFormat="false" ht="13.5" hidden="false" customHeight="true" outlineLevel="0" collapsed="false">
      <c r="A88" s="471" t="s">
        <v>123</v>
      </c>
      <c r="B88" s="263" t="n">
        <v>57</v>
      </c>
      <c r="C88" s="472" t="n">
        <v>0.032719756097561</v>
      </c>
      <c r="D88" s="472" t="n">
        <v>0.206967645021652</v>
      </c>
      <c r="E88" s="472" t="n">
        <v>0.254737490911272</v>
      </c>
      <c r="F88" s="472" t="n">
        <v>0.165412212145624</v>
      </c>
      <c r="G88" s="473" t="n">
        <v>0.887251212035887</v>
      </c>
      <c r="H88" s="473" t="n">
        <v>0.923219575387738</v>
      </c>
      <c r="I88" s="472" t="n">
        <v>0.0806755930622931</v>
      </c>
      <c r="J88" s="472" t="n">
        <v>0.552630546173528</v>
      </c>
      <c r="K88" s="472" t="n">
        <v>0.052913</v>
      </c>
      <c r="L88" s="472" t="n">
        <v>0.0844398133306591</v>
      </c>
      <c r="M88" s="472" t="n">
        <v>0.0772143339258468</v>
      </c>
      <c r="N88" s="473" t="n">
        <v>2.56771371802112</v>
      </c>
      <c r="O88" s="473" t="n">
        <v>6.51609409586654</v>
      </c>
      <c r="P88" s="473" t="n">
        <v>24.0739362043758</v>
      </c>
      <c r="Q88" s="473" t="n">
        <v>30.8632928738412</v>
      </c>
      <c r="R88" s="473" t="n">
        <v>8.37111636496703</v>
      </c>
      <c r="S88" s="473" t="n">
        <v>84.716084187086</v>
      </c>
      <c r="T88" s="472" t="n">
        <v>0.222518393986685</v>
      </c>
      <c r="U88" s="472" t="n">
        <v>0.0281076844659746</v>
      </c>
      <c r="V88" s="472" t="n">
        <v>0.070725572966244</v>
      </c>
      <c r="W88" s="472" t="n">
        <v>0.466071933385965</v>
      </c>
      <c r="X88" s="472" t="n">
        <v>0.249565605302701</v>
      </c>
      <c r="Y88" s="472" t="n">
        <v>0.414494226953607</v>
      </c>
      <c r="Z88" s="472" t="n">
        <v>0.414494226953607</v>
      </c>
      <c r="AA88" s="474" t="n">
        <v>0.220114777801369</v>
      </c>
    </row>
    <row r="89" customFormat="false" ht="13.5" hidden="false" customHeight="true" outlineLevel="0" collapsed="false">
      <c r="A89" s="471" t="s">
        <v>693</v>
      </c>
      <c r="B89" s="263" t="n">
        <v>39</v>
      </c>
      <c r="C89" s="472" t="n">
        <v>0.135675</v>
      </c>
      <c r="D89" s="472" t="n">
        <v>0.204712199110273</v>
      </c>
      <c r="E89" s="472" t="n">
        <v>0.120365667430477</v>
      </c>
      <c r="F89" s="472" t="n">
        <v>0.18485174754182</v>
      </c>
      <c r="G89" s="473" t="n">
        <v>0.381500358363872</v>
      </c>
      <c r="H89" s="473" t="n">
        <v>0.628720151874562</v>
      </c>
      <c r="I89" s="472" t="n">
        <v>0.0675409187736055</v>
      </c>
      <c r="J89" s="472" t="n">
        <v>0.602877599248089</v>
      </c>
      <c r="K89" s="472" t="n">
        <v>0.052913</v>
      </c>
      <c r="L89" s="472" t="n">
        <v>0.489960399325409</v>
      </c>
      <c r="M89" s="472" t="n">
        <v>0.0538924991976138</v>
      </c>
      <c r="N89" s="473" t="n">
        <v>0.602872577722405</v>
      </c>
      <c r="O89" s="473" t="n">
        <v>2.61480056300068</v>
      </c>
      <c r="P89" s="473" t="n">
        <v>6.53519947401623</v>
      </c>
      <c r="Q89" s="473" t="n">
        <v>12.2166203789295</v>
      </c>
      <c r="R89" s="473" t="n">
        <v>1.63631234327122</v>
      </c>
      <c r="S89" s="473" t="n">
        <v>16.7877158273881</v>
      </c>
      <c r="T89" s="472" t="n">
        <v>-0.0368798139512304</v>
      </c>
      <c r="U89" s="472" t="n">
        <v>0.165948620275102</v>
      </c>
      <c r="V89" s="472" t="n">
        <v>0.00907928520775841</v>
      </c>
      <c r="W89" s="472" t="n">
        <v>0.119544883792395</v>
      </c>
      <c r="X89" s="472" t="n">
        <v>0.198175260961961</v>
      </c>
      <c r="Y89" s="472" t="n">
        <v>0.47681709049528</v>
      </c>
      <c r="Z89" s="472" t="n">
        <v>0.47681709049528</v>
      </c>
      <c r="AA89" s="474" t="n">
        <v>0.20836369863902</v>
      </c>
    </row>
    <row r="90" customFormat="false" ht="13.5" hidden="false" customHeight="true" outlineLevel="0" collapsed="false">
      <c r="A90" s="471" t="s">
        <v>697</v>
      </c>
      <c r="B90" s="263" t="n">
        <v>10</v>
      </c>
      <c r="C90" s="472" t="n">
        <v>0.02911</v>
      </c>
      <c r="D90" s="472" t="n">
        <v>0.435382357480263</v>
      </c>
      <c r="E90" s="472" t="n">
        <v>0.630778035057715</v>
      </c>
      <c r="F90" s="472" t="n">
        <v>0.209038248280357</v>
      </c>
      <c r="G90" s="473" t="n">
        <v>0.69029777393118</v>
      </c>
      <c r="H90" s="473" t="n">
        <v>0.794314579701523</v>
      </c>
      <c r="I90" s="472" t="n">
        <v>0.0749264302546879</v>
      </c>
      <c r="J90" s="472" t="n">
        <v>0.659579872239021</v>
      </c>
      <c r="K90" s="472" t="n">
        <v>0.060195</v>
      </c>
      <c r="L90" s="472" t="n">
        <v>0.186783625554375</v>
      </c>
      <c r="M90" s="472" t="n">
        <v>0.0693639802170545</v>
      </c>
      <c r="N90" s="473" t="n">
        <v>1.8241696810329</v>
      </c>
      <c r="O90" s="473" t="n">
        <v>6.39519294698878</v>
      </c>
      <c r="P90" s="473" t="n">
        <v>13.4609035421483</v>
      </c>
      <c r="Q90" s="473" t="n">
        <v>14.6317805902516</v>
      </c>
      <c r="R90" s="473" t="s">
        <v>1093</v>
      </c>
      <c r="S90" s="473" t="n">
        <v>23.2084932707558</v>
      </c>
      <c r="T90" s="472" t="n">
        <v>0.169118070706857</v>
      </c>
      <c r="U90" s="472" t="n">
        <v>0.025026765477527</v>
      </c>
      <c r="V90" s="472" t="n">
        <v>-0.00910087059670819</v>
      </c>
      <c r="W90" s="472" t="n">
        <v>0.0238047204127498</v>
      </c>
      <c r="X90" s="472" t="s">
        <v>1093</v>
      </c>
      <c r="Y90" s="472" t="n">
        <v>0.876046676774632</v>
      </c>
      <c r="Z90" s="472" t="n">
        <v>0.876046676774632</v>
      </c>
      <c r="AA90" s="474" t="n">
        <v>0.437865826527779</v>
      </c>
    </row>
    <row r="91" customFormat="false" ht="13.5" hidden="false" customHeight="true" outlineLevel="0" collapsed="false">
      <c r="A91" s="471" t="s">
        <v>821</v>
      </c>
      <c r="B91" s="263" t="n">
        <v>19</v>
      </c>
      <c r="C91" s="472" t="n">
        <v>0.0912083333333333</v>
      </c>
      <c r="D91" s="472" t="n">
        <v>0.0756722214866511</v>
      </c>
      <c r="E91" s="472" t="n">
        <v>0.130007984908405</v>
      </c>
      <c r="F91" s="472" t="n">
        <v>0.159118745898292</v>
      </c>
      <c r="G91" s="473" t="n">
        <v>0.711526641756434</v>
      </c>
      <c r="H91" s="473" t="n">
        <v>0.859921926791313</v>
      </c>
      <c r="I91" s="472" t="n">
        <v>0.0778525179348926</v>
      </c>
      <c r="J91" s="472" t="n">
        <v>0.381329406156173</v>
      </c>
      <c r="K91" s="472" t="n">
        <v>0.050672</v>
      </c>
      <c r="L91" s="472" t="n">
        <v>0.26712845060385</v>
      </c>
      <c r="M91" s="472" t="n">
        <v>0.067207845080085</v>
      </c>
      <c r="N91" s="473" t="n">
        <v>1.97534811228372</v>
      </c>
      <c r="O91" s="473" t="n">
        <v>1.63969522823832</v>
      </c>
      <c r="P91" s="473" t="n">
        <v>12.5499630745827</v>
      </c>
      <c r="Q91" s="473" t="n">
        <v>21.4501337644581</v>
      </c>
      <c r="R91" s="473" t="n">
        <v>4.78726037605811</v>
      </c>
      <c r="S91" s="473" t="n">
        <v>28.8678283057048</v>
      </c>
      <c r="T91" s="472" t="n">
        <v>0.0696147798726607</v>
      </c>
      <c r="U91" s="472" t="n">
        <v>0.0492684175262016</v>
      </c>
      <c r="V91" s="472" t="n">
        <v>0.0220454191019044</v>
      </c>
      <c r="W91" s="472" t="n">
        <v>0.515047940950361</v>
      </c>
      <c r="X91" s="472" t="n">
        <v>0.365820874857198</v>
      </c>
      <c r="Y91" s="472" t="n">
        <v>0.291228309845614</v>
      </c>
      <c r="Z91" s="472" t="n">
        <v>0.291228309845614</v>
      </c>
      <c r="AA91" s="474" t="n">
        <v>0.0770576266337087</v>
      </c>
    </row>
    <row r="92" customFormat="false" ht="13.5" hidden="false" customHeight="true" outlineLevel="0" collapsed="false">
      <c r="A92" s="471" t="s">
        <v>1150</v>
      </c>
      <c r="B92" s="263" t="n">
        <v>4</v>
      </c>
      <c r="C92" s="472" t="n">
        <v>0.0491</v>
      </c>
      <c r="D92" s="472" t="n">
        <v>0.374108861134269</v>
      </c>
      <c r="E92" s="472" t="n">
        <v>0.142369595223105</v>
      </c>
      <c r="F92" s="472" t="n">
        <v>0.224357434542397</v>
      </c>
      <c r="G92" s="473" t="n">
        <v>0.813722253997783</v>
      </c>
      <c r="H92" s="473" t="n">
        <v>0.975145748515485</v>
      </c>
      <c r="I92" s="472" t="n">
        <v>0.0829915003837907</v>
      </c>
      <c r="J92" s="472" t="n">
        <v>0.238984858366892</v>
      </c>
      <c r="K92" s="472" t="n">
        <v>0.047306</v>
      </c>
      <c r="L92" s="472" t="n">
        <v>0.217475729348419</v>
      </c>
      <c r="M92" s="472" t="n">
        <v>0.0726587934475234</v>
      </c>
      <c r="N92" s="473" t="n">
        <v>0.458134110251357</v>
      </c>
      <c r="O92" s="473" t="n">
        <v>6.66555970350433</v>
      </c>
      <c r="P92" s="473" t="n">
        <v>13.4881786526189</v>
      </c>
      <c r="Q92" s="473" t="n">
        <v>17.806399782875</v>
      </c>
      <c r="R92" s="473" t="n">
        <v>5.83445760536539</v>
      </c>
      <c r="S92" s="473" t="n">
        <v>21.5293681224113</v>
      </c>
      <c r="T92" s="472" t="n">
        <v>0.0156002867227127</v>
      </c>
      <c r="U92" s="472" t="n">
        <v>0.178619289893804</v>
      </c>
      <c r="V92" s="472" t="n">
        <v>0.0646762292846736</v>
      </c>
      <c r="W92" s="472" t="n">
        <v>0.200777874072505</v>
      </c>
      <c r="X92" s="472" t="n">
        <v>0.290674775822747</v>
      </c>
      <c r="Y92" s="472" t="n">
        <v>0.426957617772176</v>
      </c>
      <c r="Z92" s="472" t="n">
        <v>0.426957617772176</v>
      </c>
      <c r="AA92" s="474" t="n">
        <v>0.374335058449873</v>
      </c>
    </row>
    <row r="93" customFormat="false" ht="13.5" hidden="false" customHeight="true" outlineLevel="0" collapsed="false">
      <c r="A93" s="471" t="s">
        <v>1151</v>
      </c>
      <c r="B93" s="263" t="n">
        <v>26</v>
      </c>
      <c r="C93" s="472" t="n">
        <v>0.0333488235294118</v>
      </c>
      <c r="D93" s="472" t="n">
        <v>0.0689184871602437</v>
      </c>
      <c r="E93" s="472" t="n">
        <v>0.0929945748076969</v>
      </c>
      <c r="F93" s="472" t="n">
        <v>0.245612055937507</v>
      </c>
      <c r="G93" s="473" t="n">
        <v>0.868850738023217</v>
      </c>
      <c r="H93" s="473" t="n">
        <v>1.01134892855213</v>
      </c>
      <c r="I93" s="472" t="n">
        <v>0.084606162213425</v>
      </c>
      <c r="J93" s="472" t="n">
        <v>0.352909174109834</v>
      </c>
      <c r="K93" s="472" t="n">
        <v>0.050672</v>
      </c>
      <c r="L93" s="472" t="n">
        <v>0.201479807730075</v>
      </c>
      <c r="M93" s="472" t="n">
        <v>0.0752167675308583</v>
      </c>
      <c r="N93" s="473" t="n">
        <v>1.46572074121948</v>
      </c>
      <c r="O93" s="473" t="n">
        <v>1.74291141214748</v>
      </c>
      <c r="P93" s="473" t="n">
        <v>10.4126008184498</v>
      </c>
      <c r="Q93" s="473" t="n">
        <v>23.8122309993639</v>
      </c>
      <c r="R93" s="473" t="n">
        <v>2.85786105095206</v>
      </c>
      <c r="S93" s="473" t="n">
        <v>37.4226786655728</v>
      </c>
      <c r="T93" s="472" t="n">
        <v>0.0799396302916213</v>
      </c>
      <c r="U93" s="472" t="n">
        <v>0.129110052458081</v>
      </c>
      <c r="V93" s="472" t="n">
        <v>0.0503424536030631</v>
      </c>
      <c r="W93" s="472" t="n">
        <v>0.987125363057542</v>
      </c>
      <c r="X93" s="472" t="n">
        <v>0.0760272120502347</v>
      </c>
      <c r="Y93" s="472" t="n">
        <v>0.283697624644486</v>
      </c>
      <c r="Z93" s="472" t="n">
        <v>0.283697624644486</v>
      </c>
      <c r="AA93" s="474" t="n">
        <v>0.0730474829528149</v>
      </c>
    </row>
    <row r="94" customFormat="false" ht="13.5" hidden="false" customHeight="true" outlineLevel="0" collapsed="false">
      <c r="A94" s="471" t="s">
        <v>1152</v>
      </c>
      <c r="B94" s="263" t="n">
        <v>14</v>
      </c>
      <c r="C94" s="472" t="n">
        <v>0.0533214285714286</v>
      </c>
      <c r="D94" s="472" t="n">
        <v>0.234921126017205</v>
      </c>
      <c r="E94" s="472" t="n">
        <v>0.059946515851167</v>
      </c>
      <c r="F94" s="472" t="n">
        <v>0.144659644846797</v>
      </c>
      <c r="G94" s="473" t="n">
        <v>0.149110535052588</v>
      </c>
      <c r="H94" s="473" t="n">
        <v>0.239434927889927</v>
      </c>
      <c r="I94" s="472" t="n">
        <v>0.0501787977838907</v>
      </c>
      <c r="J94" s="472" t="n">
        <v>0.149620310444481</v>
      </c>
      <c r="K94" s="472" t="n">
        <v>0.047306</v>
      </c>
      <c r="L94" s="472" t="n">
        <v>0.448988118218143</v>
      </c>
      <c r="M94" s="472" t="n">
        <v>0.0435789877327735</v>
      </c>
      <c r="N94" s="473" t="n">
        <v>0.29613329830903</v>
      </c>
      <c r="O94" s="473" t="n">
        <v>5.25160608401836</v>
      </c>
      <c r="P94" s="473" t="n">
        <v>13.7270150387697</v>
      </c>
      <c r="Q94" s="473" t="n">
        <v>22.630883778619</v>
      </c>
      <c r="R94" s="473" t="n">
        <v>1.81018713602911</v>
      </c>
      <c r="S94" s="473" t="n">
        <v>19.9200980716965</v>
      </c>
      <c r="T94" s="472" t="n">
        <v>0.200490227302997</v>
      </c>
      <c r="U94" s="472" t="n">
        <v>0.472256989627134</v>
      </c>
      <c r="V94" s="472" t="n">
        <v>0.335758549403678</v>
      </c>
      <c r="W94" s="472" t="n">
        <v>1.72301095467894</v>
      </c>
      <c r="X94" s="472" t="n">
        <v>0.104155145863996</v>
      </c>
      <c r="Y94" s="472" t="n">
        <v>0.654027247002538</v>
      </c>
      <c r="Z94" s="472" t="n">
        <v>0.654027247002538</v>
      </c>
      <c r="AA94" s="474" t="n">
        <v>0.232054838661667</v>
      </c>
    </row>
    <row r="95" customFormat="false" ht="13.5" hidden="false" customHeight="true" outlineLevel="0" collapsed="false">
      <c r="A95" s="471" t="s">
        <v>1153</v>
      </c>
      <c r="B95" s="263" t="n">
        <v>14</v>
      </c>
      <c r="C95" s="472" t="n">
        <v>0.132974166666667</v>
      </c>
      <c r="D95" s="472" t="n">
        <v>0.33715696299102</v>
      </c>
      <c r="E95" s="472" t="n">
        <v>0.0725066095517471</v>
      </c>
      <c r="F95" s="472" t="n">
        <v>0.15939529259241</v>
      </c>
      <c r="G95" s="473" t="n">
        <v>0.282472893451335</v>
      </c>
      <c r="H95" s="473" t="n">
        <v>0.412682794841614</v>
      </c>
      <c r="I95" s="472" t="n">
        <v>0.057905652649936</v>
      </c>
      <c r="J95" s="472" t="n">
        <v>0.295985091226044</v>
      </c>
      <c r="K95" s="472" t="n">
        <v>0.047306</v>
      </c>
      <c r="L95" s="472" t="n">
        <v>0.384082644803736</v>
      </c>
      <c r="M95" s="472" t="n">
        <v>0.0492921566273762</v>
      </c>
      <c r="N95" s="473" t="n">
        <v>0.242821439501254</v>
      </c>
      <c r="O95" s="473" t="n">
        <v>7.15635477919348</v>
      </c>
      <c r="P95" s="473" t="n">
        <v>14.1380037482983</v>
      </c>
      <c r="Q95" s="473" t="n">
        <v>21.0845029224397</v>
      </c>
      <c r="R95" s="473" t="n">
        <v>1.99521831801164</v>
      </c>
      <c r="S95" s="473" t="n">
        <v>23.0657433090761</v>
      </c>
      <c r="T95" s="472" t="n">
        <v>0.125426931265862</v>
      </c>
      <c r="U95" s="472" t="n">
        <v>0.558395537364856</v>
      </c>
      <c r="V95" s="472" t="n">
        <v>0.437246492347855</v>
      </c>
      <c r="W95" s="472" t="n">
        <v>1.62177605516761</v>
      </c>
      <c r="X95" s="472" t="n">
        <v>0.172123729918646</v>
      </c>
      <c r="Y95" s="472" t="n">
        <v>0.564362441323055</v>
      </c>
      <c r="Z95" s="472" t="n">
        <v>0.348334239844146</v>
      </c>
      <c r="AA95" s="474" t="n">
        <v>0.336315278673043</v>
      </c>
    </row>
    <row r="96" customFormat="false" ht="13.5" hidden="false" customHeight="true" outlineLevel="0" collapsed="false">
      <c r="A96" s="471" t="s">
        <v>1154</v>
      </c>
      <c r="B96" s="263" t="n">
        <v>5994</v>
      </c>
      <c r="C96" s="472" t="n">
        <v>0.127661961136024</v>
      </c>
      <c r="D96" s="472" t="n">
        <v>0.128175228496801</v>
      </c>
      <c r="E96" s="472" t="n">
        <v>0.0895591041419303</v>
      </c>
      <c r="F96" s="472" t="n">
        <v>0.193798079329985</v>
      </c>
      <c r="G96" s="473" t="n">
        <v>0.755716865669299</v>
      </c>
      <c r="H96" s="473" t="n">
        <v>0.912110936655347</v>
      </c>
      <c r="I96" s="472" t="n">
        <v>0.0801801477748285</v>
      </c>
      <c r="J96" s="472" t="n">
        <v>0.480665628519197</v>
      </c>
      <c r="K96" s="472" t="n">
        <v>0.052913</v>
      </c>
      <c r="L96" s="472" t="n">
        <v>0.260197702959757</v>
      </c>
      <c r="M96" s="472" t="n">
        <v>0.0696433382933765</v>
      </c>
      <c r="N96" s="473" t="n">
        <v>0.821785033204955</v>
      </c>
      <c r="O96" s="473" t="n">
        <v>3.96633602606759</v>
      </c>
      <c r="P96" s="473" t="n">
        <v>19.7319276575308</v>
      </c>
      <c r="Q96" s="473" t="n">
        <v>29.1243535291137</v>
      </c>
      <c r="R96" s="473" t="n">
        <v>4.60515798112484</v>
      </c>
      <c r="S96" s="473" t="n">
        <v>57.8638547211682</v>
      </c>
      <c r="T96" s="472" t="n">
        <v>-0.218557714977511</v>
      </c>
      <c r="U96" s="472" t="n">
        <v>0.0657460195228134</v>
      </c>
      <c r="V96" s="472" t="n">
        <v>0.0423121349149798</v>
      </c>
      <c r="W96" s="472" t="n">
        <v>0.508226747634358</v>
      </c>
      <c r="X96" s="472" t="n">
        <v>0.172123729918646</v>
      </c>
      <c r="Y96" s="472" t="n">
        <v>0.348334239844146</v>
      </c>
      <c r="Z96" s="472" t="n">
        <v>0.348334239844146</v>
      </c>
      <c r="AA96" s="474" t="n">
        <v>0.129349351556467</v>
      </c>
    </row>
    <row r="97" customFormat="false" ht="13.5" hidden="false" customHeight="true" outlineLevel="0" collapsed="false">
      <c r="A97" s="471" t="s">
        <v>1155</v>
      </c>
      <c r="B97" s="263" t="n">
        <v>4822</v>
      </c>
      <c r="C97" s="472" t="n">
        <v>0.137455593998245</v>
      </c>
      <c r="D97" s="472" t="n">
        <v>0.131355888844559</v>
      </c>
      <c r="E97" s="472" t="n">
        <v>0.150709519195417</v>
      </c>
      <c r="F97" s="472" t="n">
        <v>0.194159538927536</v>
      </c>
      <c r="G97" s="473" t="n">
        <v>0.900967527949243</v>
      </c>
      <c r="H97" s="473" t="n">
        <v>0.991295971956409</v>
      </c>
      <c r="I97" s="472" t="n">
        <v>0.0837118003492558</v>
      </c>
      <c r="J97" s="472" t="n">
        <v>0.527648194722503</v>
      </c>
      <c r="K97" s="472" t="n">
        <v>0.052913</v>
      </c>
      <c r="L97" s="472" t="n">
        <v>0.147397615675453</v>
      </c>
      <c r="M97" s="472" t="n">
        <v>0.0772223181025524</v>
      </c>
      <c r="N97" s="473" t="n">
        <v>1.43377556121494</v>
      </c>
      <c r="O97" s="473" t="n">
        <v>3.46030927751221</v>
      </c>
      <c r="P97" s="473" t="n">
        <v>16.9549521380779</v>
      </c>
      <c r="Q97" s="473" t="n">
        <v>25.6967386979949</v>
      </c>
      <c r="R97" s="473" t="n">
        <v>5.4390457713679</v>
      </c>
      <c r="S97" s="473" t="n">
        <v>61.5585990912162</v>
      </c>
      <c r="T97" s="472" t="n">
        <v>0.0930119522313709</v>
      </c>
      <c r="U97" s="472" t="n">
        <v>0.0717698015808098</v>
      </c>
      <c r="V97" s="472" t="n">
        <v>0.0429145110938725</v>
      </c>
      <c r="W97" s="472" t="n">
        <v>0.488088099661715</v>
      </c>
      <c r="X97" s="472" t="n">
        <v>0.176020012107524</v>
      </c>
      <c r="Y97" s="472" t="n">
        <v>0.366528754246746</v>
      </c>
      <c r="Z97" s="472" t="n">
        <v>0.366528754246746</v>
      </c>
      <c r="AA97" s="474" t="n">
        <v>0.132620755558944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7"/>
  <sheetViews>
    <sheetView showFormulas="false" showGridLines="true" showRowColHeaders="true" showZeros="true" rightToLeft="false" tabSelected="false" showOutlineSymbols="true" defaultGridColor="true" view="normal" topLeftCell="A46" colorId="64" zoomScale="100" zoomScaleNormal="100" zoomScalePageLayoutView="100" workbookViewId="0">
      <selection pane="topLeft" activeCell="A1" activeCellId="0" sqref="A1"/>
    </sheetView>
  </sheetViews>
  <sheetFormatPr defaultColWidth="10.73046875" defaultRowHeight="12.75" customHeight="false" zeroHeight="false" outlineLevelRow="0" outlineLevelCol="0"/>
  <cols>
    <col collapsed="false" customWidth="true" hidden="false" outlineLevel="0" max="1" min="1" style="98" width="23.17"/>
    <col collapsed="false" customWidth="true" hidden="false" outlineLevel="0" max="23" min="2" style="348" width="10.66"/>
    <col collapsed="false" customWidth="true" hidden="false" outlineLevel="0" max="27" min="24" style="348" width="10.84"/>
  </cols>
  <sheetData>
    <row r="1" s="467" customFormat="true" ht="84" hidden="false" customHeight="true" outlineLevel="0" collapsed="false">
      <c r="A1" s="466" t="s">
        <v>603</v>
      </c>
      <c r="B1" s="467" t="s">
        <v>1071</v>
      </c>
      <c r="C1" s="468" t="s">
        <v>1072</v>
      </c>
      <c r="D1" s="468" t="s">
        <v>1073</v>
      </c>
      <c r="E1" s="468" t="s">
        <v>1074</v>
      </c>
      <c r="F1" s="467" t="s">
        <v>1075</v>
      </c>
      <c r="G1" s="467" t="s">
        <v>767</v>
      </c>
      <c r="H1" s="467" t="s">
        <v>1076</v>
      </c>
      <c r="I1" s="467" t="s">
        <v>12</v>
      </c>
      <c r="J1" s="467" t="s">
        <v>1077</v>
      </c>
      <c r="K1" s="467" t="s">
        <v>13</v>
      </c>
      <c r="L1" s="467" t="s">
        <v>1078</v>
      </c>
      <c r="M1" s="467" t="s">
        <v>15</v>
      </c>
      <c r="N1" s="469" t="s">
        <v>1079</v>
      </c>
      <c r="O1" s="467" t="s">
        <v>765</v>
      </c>
      <c r="P1" s="467" t="s">
        <v>1080</v>
      </c>
      <c r="Q1" s="467" t="s">
        <v>1081</v>
      </c>
      <c r="R1" s="467" t="s">
        <v>1082</v>
      </c>
      <c r="S1" s="467" t="s">
        <v>1083</v>
      </c>
      <c r="T1" s="467" t="s">
        <v>1084</v>
      </c>
      <c r="U1" s="467" t="s">
        <v>1085</v>
      </c>
      <c r="V1" s="467" t="s">
        <v>1086</v>
      </c>
      <c r="W1" s="467" t="s">
        <v>428</v>
      </c>
      <c r="X1" s="467" t="s">
        <v>1087</v>
      </c>
      <c r="Y1" s="467" t="s">
        <v>1088</v>
      </c>
      <c r="Z1" s="467" t="s">
        <v>1089</v>
      </c>
      <c r="AA1" s="467" t="s">
        <v>1090</v>
      </c>
    </row>
    <row r="2" s="475" customFormat="true" ht="12.75" hidden="false" customHeight="true" outlineLevel="0" collapsed="false">
      <c r="A2" s="471" t="s">
        <v>605</v>
      </c>
      <c r="B2" s="263" t="n">
        <v>419</v>
      </c>
      <c r="C2" s="472" t="n">
        <v>0.0767459448818897</v>
      </c>
      <c r="D2" s="472" t="n">
        <v>0.0854521913514597</v>
      </c>
      <c r="E2" s="472" t="n">
        <v>0.179336576711833</v>
      </c>
      <c r="F2" s="472" t="n">
        <v>0.282228684639932</v>
      </c>
      <c r="G2" s="473" t="n">
        <v>1.08611613619772</v>
      </c>
      <c r="H2" s="473" t="n">
        <v>1.27283180333916</v>
      </c>
      <c r="I2" s="472" t="n">
        <v>0.111160430527995</v>
      </c>
      <c r="J2" s="472" t="n">
        <v>0.478197157143038</v>
      </c>
      <c r="K2" s="472" t="n">
        <v>0.060013</v>
      </c>
      <c r="L2" s="472" t="n">
        <v>0.288534317211795</v>
      </c>
      <c r="M2" s="472" t="n">
        <v>0.0920096205918324</v>
      </c>
      <c r="N2" s="473" t="n">
        <v>2.59090949067257</v>
      </c>
      <c r="O2" s="473" t="n">
        <v>1.52201870469061</v>
      </c>
      <c r="P2" s="473" t="n">
        <v>11.0798336414301</v>
      </c>
      <c r="Q2" s="473" t="n">
        <v>16.4585694246315</v>
      </c>
      <c r="R2" s="473" t="n">
        <v>2.47862908079458</v>
      </c>
      <c r="S2" s="473" t="n">
        <v>41.3764398297482</v>
      </c>
      <c r="T2" s="472" t="n">
        <v>-0.00739063259775556</v>
      </c>
      <c r="U2" s="472" t="n">
        <v>0.0173237197504508</v>
      </c>
      <c r="V2" s="472" t="n">
        <v>0.00577569191606101</v>
      </c>
      <c r="W2" s="472" t="n">
        <v>0.10941576590929</v>
      </c>
      <c r="X2" s="472" t="n">
        <v>0.0311912405811368</v>
      </c>
      <c r="Y2" s="472" t="n">
        <v>1.94983710228631</v>
      </c>
      <c r="Z2" s="472" t="n">
        <v>1.94983710228631</v>
      </c>
      <c r="AA2" s="474" t="n">
        <v>0.0865103477330427</v>
      </c>
    </row>
    <row r="3" s="475" customFormat="true" ht="12.75" hidden="false" customHeight="true" outlineLevel="0" collapsed="false">
      <c r="A3" s="471" t="s">
        <v>606</v>
      </c>
      <c r="B3" s="263" t="n">
        <v>319</v>
      </c>
      <c r="C3" s="472" t="n">
        <v>0.100301138613861</v>
      </c>
      <c r="D3" s="472" t="n">
        <v>0.0917850834305224</v>
      </c>
      <c r="E3" s="472" t="n">
        <v>0.154626652898299</v>
      </c>
      <c r="F3" s="472" t="n">
        <v>0.175140584626933</v>
      </c>
      <c r="G3" s="473" t="n">
        <v>1.16668429942708</v>
      </c>
      <c r="H3" s="473" t="n">
        <v>1.23094463633045</v>
      </c>
      <c r="I3" s="472" t="n">
        <v>0.108802183025404</v>
      </c>
      <c r="J3" s="472" t="n">
        <v>0.465353631629568</v>
      </c>
      <c r="K3" s="472" t="n">
        <v>0.060013</v>
      </c>
      <c r="L3" s="472" t="n">
        <v>0.115047657263451</v>
      </c>
      <c r="M3" s="472" t="n">
        <v>0.101437466940991</v>
      </c>
      <c r="N3" s="473" t="n">
        <v>2.4649199087213</v>
      </c>
      <c r="O3" s="473" t="n">
        <v>3.38524612441362</v>
      </c>
      <c r="P3" s="473" t="n">
        <v>22.3988231278321</v>
      </c>
      <c r="Q3" s="473" t="n">
        <v>33.0848631670719</v>
      </c>
      <c r="R3" s="473" t="n">
        <v>6.7223105530477</v>
      </c>
      <c r="S3" s="473" t="n">
        <v>189.880092478241</v>
      </c>
      <c r="T3" s="472" t="n">
        <v>0.393061331938057</v>
      </c>
      <c r="U3" s="472" t="n">
        <v>0.0380492277178465</v>
      </c>
      <c r="V3" s="472" t="n">
        <v>0.0151516597239843</v>
      </c>
      <c r="W3" s="472" t="n">
        <v>0.701525987902954</v>
      </c>
      <c r="X3" s="472" t="n">
        <v>0.184497379944047</v>
      </c>
      <c r="Y3" s="472" t="n">
        <v>0.378193119372084</v>
      </c>
      <c r="Z3" s="472" t="n">
        <v>0.378193119372084</v>
      </c>
      <c r="AA3" s="474" t="n">
        <v>0.0938957572434056</v>
      </c>
    </row>
    <row r="4" s="475" customFormat="true" ht="12.75" hidden="false" customHeight="true" outlineLevel="0" collapsed="false">
      <c r="A4" s="471" t="s">
        <v>607</v>
      </c>
      <c r="B4" s="263" t="n">
        <v>150</v>
      </c>
      <c r="C4" s="472" t="n">
        <v>0.206542834645669</v>
      </c>
      <c r="D4" s="472" t="n">
        <v>0.0820944626945941</v>
      </c>
      <c r="E4" s="472" t="n">
        <v>0.0901346729580083</v>
      </c>
      <c r="F4" s="472" t="n">
        <v>0.214564149732107</v>
      </c>
      <c r="G4" s="473" t="n">
        <v>0.684062155201837</v>
      </c>
      <c r="H4" s="473" t="n">
        <v>0.990625140921233</v>
      </c>
      <c r="I4" s="472" t="n">
        <v>0.0952721954338654</v>
      </c>
      <c r="J4" s="472" t="n">
        <v>0.336345164741186</v>
      </c>
      <c r="K4" s="472" t="n">
        <v>0.057772</v>
      </c>
      <c r="L4" s="472" t="n">
        <v>0.440982812066558</v>
      </c>
      <c r="M4" s="472" t="n">
        <v>0.0722718761453474</v>
      </c>
      <c r="N4" s="473" t="n">
        <v>1.31403992939738</v>
      </c>
      <c r="O4" s="473" t="n">
        <v>1.39780767934131</v>
      </c>
      <c r="P4" s="473" t="n">
        <v>9.07063727766435</v>
      </c>
      <c r="Q4" s="473" t="n">
        <v>16.9216274005288</v>
      </c>
      <c r="R4" s="473" t="n">
        <v>2.48213937600878</v>
      </c>
      <c r="S4" s="473" t="n">
        <v>26.8817884696901</v>
      </c>
      <c r="T4" s="472" t="n">
        <v>-0.0352949395584087</v>
      </c>
      <c r="U4" s="472" t="n">
        <v>0.0993421145604928</v>
      </c>
      <c r="V4" s="472" t="n">
        <v>0.0333533351332803</v>
      </c>
      <c r="W4" s="472" t="n">
        <v>0.47696584943572</v>
      </c>
      <c r="X4" s="472" t="n">
        <v>0.172822384920591</v>
      </c>
      <c r="Y4" s="472" t="n">
        <v>0.387394121808358</v>
      </c>
      <c r="Z4" s="472" t="n">
        <v>0.387394121808358</v>
      </c>
      <c r="AA4" s="474" t="n">
        <v>0.0808574556064727</v>
      </c>
    </row>
    <row r="5" s="475" customFormat="true" ht="12.75" hidden="false" customHeight="true" outlineLevel="0" collapsed="false">
      <c r="A5" s="471" t="s">
        <v>609</v>
      </c>
      <c r="B5" s="263" t="n">
        <v>1207</v>
      </c>
      <c r="C5" s="472" t="n">
        <v>0.0961444559585492</v>
      </c>
      <c r="D5" s="472" t="n">
        <v>0.12594925179151</v>
      </c>
      <c r="E5" s="472" t="n">
        <v>0.160665814962485</v>
      </c>
      <c r="F5" s="472" t="n">
        <v>0.276368699897782</v>
      </c>
      <c r="G5" s="473" t="n">
        <v>0.70526665913368</v>
      </c>
      <c r="H5" s="473" t="n">
        <v>0.762417415009888</v>
      </c>
      <c r="I5" s="472" t="n">
        <v>0.0824241004650567</v>
      </c>
      <c r="J5" s="472" t="n">
        <v>0.409127351426709</v>
      </c>
      <c r="K5" s="472" t="n">
        <v>0.057772</v>
      </c>
      <c r="L5" s="472" t="n">
        <v>0.157573080575386</v>
      </c>
      <c r="M5" s="472" t="n">
        <v>0.0762300827949328</v>
      </c>
      <c r="N5" s="473" t="n">
        <v>1.52063657802572</v>
      </c>
      <c r="O5" s="473" t="n">
        <v>2.31092051981208</v>
      </c>
      <c r="P5" s="473" t="n">
        <v>14.0480280105498</v>
      </c>
      <c r="Q5" s="473" t="n">
        <v>17.7030433082573</v>
      </c>
      <c r="R5" s="473" t="n">
        <v>3.28692368416849</v>
      </c>
      <c r="S5" s="473" t="n">
        <v>59.3101092936845</v>
      </c>
      <c r="T5" s="472" t="n">
        <v>0.223356726579416</v>
      </c>
      <c r="U5" s="472" t="n">
        <v>0.043508277384981</v>
      </c>
      <c r="V5" s="472" t="n">
        <v>0.0207516232591259</v>
      </c>
      <c r="W5" s="472" t="n">
        <v>0.398474953756031</v>
      </c>
      <c r="X5" s="472" t="n">
        <v>0.135444417693777</v>
      </c>
      <c r="Y5" s="472" t="n">
        <v>0.49506428414427</v>
      </c>
      <c r="Z5" s="472" t="n">
        <v>0.49506428414427</v>
      </c>
      <c r="AA5" s="474" t="n">
        <v>0.127179727789</v>
      </c>
    </row>
    <row r="6" s="475" customFormat="true" ht="12.75" hidden="false" customHeight="true" outlineLevel="0" collapsed="false">
      <c r="A6" s="471" t="s">
        <v>610</v>
      </c>
      <c r="B6" s="263" t="n">
        <v>165</v>
      </c>
      <c r="C6" s="472" t="n">
        <v>0.141866504854369</v>
      </c>
      <c r="D6" s="472" t="n">
        <v>0.0431265971725724</v>
      </c>
      <c r="E6" s="472" t="n">
        <v>0.0432907118479865</v>
      </c>
      <c r="F6" s="472" t="n">
        <v>0.239067355658604</v>
      </c>
      <c r="G6" s="473" t="n">
        <v>1.14538238547432</v>
      </c>
      <c r="H6" s="473" t="n">
        <v>1.40595783598273</v>
      </c>
      <c r="I6" s="472" t="n">
        <v>0.118655426165828</v>
      </c>
      <c r="J6" s="472" t="n">
        <v>0.465440451374442</v>
      </c>
      <c r="K6" s="472" t="n">
        <v>0.060013</v>
      </c>
      <c r="L6" s="472" t="n">
        <v>0.323459037203528</v>
      </c>
      <c r="M6" s="472" t="n">
        <v>0.0947622431943876</v>
      </c>
      <c r="N6" s="473" t="n">
        <v>1.19048040431904</v>
      </c>
      <c r="O6" s="473" t="n">
        <v>1.50389885933718</v>
      </c>
      <c r="P6" s="473" t="n">
        <v>17.2877293490859</v>
      </c>
      <c r="Q6" s="473" t="n">
        <v>33.7030353589251</v>
      </c>
      <c r="R6" s="473" t="n">
        <v>2.11018156878787</v>
      </c>
      <c r="S6" s="473" t="n">
        <v>64.0952339134573</v>
      </c>
      <c r="T6" s="472" t="n">
        <v>-0.0252091360075417</v>
      </c>
      <c r="U6" s="472" t="n">
        <v>0.0628766002402833</v>
      </c>
      <c r="V6" s="472" t="n">
        <v>0.0352423742445215</v>
      </c>
      <c r="W6" s="472" t="n">
        <v>0.777722720014066</v>
      </c>
      <c r="X6" s="472" t="n">
        <v>0.0622917401328218</v>
      </c>
      <c r="Y6" s="472" t="n">
        <v>0.504307504925834</v>
      </c>
      <c r="Z6" s="472" t="n">
        <v>0.504307504925834</v>
      </c>
      <c r="AA6" s="474" t="n">
        <v>0.046898863272591</v>
      </c>
    </row>
    <row r="7" s="475" customFormat="true" ht="12.75" hidden="false" customHeight="true" outlineLevel="0" collapsed="false">
      <c r="A7" s="471" t="s">
        <v>1091</v>
      </c>
      <c r="B7" s="263" t="n">
        <v>797</v>
      </c>
      <c r="C7" s="472" t="n">
        <v>0.116024339622642</v>
      </c>
      <c r="D7" s="472" t="n">
        <v>0.054480012734338</v>
      </c>
      <c r="E7" s="472" t="n">
        <v>0.129164411679616</v>
      </c>
      <c r="F7" s="472" t="n">
        <v>0.244663457766304</v>
      </c>
      <c r="G7" s="473" t="n">
        <v>1.35347187966227</v>
      </c>
      <c r="H7" s="473" t="n">
        <v>1.44982128732895</v>
      </c>
      <c r="I7" s="472" t="n">
        <v>0.12112493847662</v>
      </c>
      <c r="J7" s="472" t="n">
        <v>0.385497908796363</v>
      </c>
      <c r="K7" s="472" t="n">
        <v>0.057772</v>
      </c>
      <c r="L7" s="472" t="n">
        <v>0.217526890463507</v>
      </c>
      <c r="M7" s="472" t="n">
        <v>0.104155732124102</v>
      </c>
      <c r="N7" s="473" t="n">
        <v>1.978693584515</v>
      </c>
      <c r="O7" s="473" t="n">
        <v>0.960135779157926</v>
      </c>
      <c r="P7" s="473" t="n">
        <v>9.2345812850458</v>
      </c>
      <c r="Q7" s="473" t="n">
        <v>16.7734046072978</v>
      </c>
      <c r="R7" s="473" t="n">
        <v>1.70966493725136</v>
      </c>
      <c r="S7" s="473" t="n">
        <v>84.4257293486529</v>
      </c>
      <c r="T7" s="472" t="n">
        <v>0.113707633526337</v>
      </c>
      <c r="U7" s="472" t="n">
        <v>0.0491065909517062</v>
      </c>
      <c r="V7" s="472" t="n">
        <v>0.0310202372017252</v>
      </c>
      <c r="W7" s="472" t="n">
        <v>0.884365523371682</v>
      </c>
      <c r="X7" s="472" t="n">
        <v>0.0655754047458269</v>
      </c>
      <c r="Y7" s="472" t="n">
        <v>0.485567889354957</v>
      </c>
      <c r="Z7" s="472" t="n">
        <v>0.485567889354957</v>
      </c>
      <c r="AA7" s="474" t="n">
        <v>0.0585413502596649</v>
      </c>
    </row>
    <row r="8" s="475" customFormat="true" ht="12.75" hidden="false" customHeight="true" outlineLevel="0" collapsed="false">
      <c r="A8" s="471" t="s">
        <v>1092</v>
      </c>
      <c r="B8" s="263" t="n">
        <v>604</v>
      </c>
      <c r="C8" s="472" t="n">
        <v>0.192011122994652</v>
      </c>
      <c r="D8" s="472" t="n">
        <v>0.00376417334152148</v>
      </c>
      <c r="E8" s="472" t="s">
        <v>1093</v>
      </c>
      <c r="F8" s="472" t="n">
        <v>0.196114460800798</v>
      </c>
      <c r="G8" s="473" t="n">
        <v>0.362765050971435</v>
      </c>
      <c r="H8" s="473" t="n">
        <v>0.697493922652027</v>
      </c>
      <c r="I8" s="472" t="n">
        <v>0.0787689078453091</v>
      </c>
      <c r="J8" s="472" t="n">
        <v>0.245674539465996</v>
      </c>
      <c r="K8" s="472" t="n">
        <v>0.054406</v>
      </c>
      <c r="L8" s="472" t="n">
        <v>0.679199866358667</v>
      </c>
      <c r="M8" s="472" t="n">
        <v>0.0528467626830515</v>
      </c>
      <c r="N8" s="473" t="n">
        <v>0.135668908281227</v>
      </c>
      <c r="O8" s="473" t="n">
        <v>8.91534452663678</v>
      </c>
      <c r="P8" s="473" t="s">
        <v>1093</v>
      </c>
      <c r="Q8" s="473" t="s">
        <v>1093</v>
      </c>
      <c r="R8" s="473" t="n">
        <v>1.13711620621898</v>
      </c>
      <c r="S8" s="473" t="n">
        <v>23.3804540672888</v>
      </c>
      <c r="T8" s="472" t="s">
        <v>1093</v>
      </c>
      <c r="U8" s="472" t="n">
        <v>0.0377210548595878</v>
      </c>
      <c r="V8" s="472" t="n">
        <v>0.0414103410944443</v>
      </c>
      <c r="W8" s="472" t="n">
        <v>0.0528467626830515</v>
      </c>
      <c r="X8" s="472" t="n">
        <v>0.115448430666082</v>
      </c>
      <c r="Y8" s="472" t="n">
        <v>0.386738920946787</v>
      </c>
      <c r="Z8" s="472" t="n">
        <v>0.386738920946787</v>
      </c>
      <c r="AA8" s="474" t="n">
        <v>0.00396443537314132</v>
      </c>
    </row>
    <row r="9" s="475" customFormat="true" ht="12.75" hidden="false" customHeight="true" outlineLevel="0" collapsed="false">
      <c r="A9" s="471" t="s">
        <v>1094</v>
      </c>
      <c r="B9" s="263" t="n">
        <v>825</v>
      </c>
      <c r="C9" s="472" t="n">
        <v>0.083853527696793</v>
      </c>
      <c r="D9" s="472" t="n">
        <v>-1.84356592717434E-005</v>
      </c>
      <c r="E9" s="472" t="s">
        <v>1093</v>
      </c>
      <c r="F9" s="472" t="n">
        <v>0.188803224373116</v>
      </c>
      <c r="G9" s="473" t="n">
        <v>0.300363382663931</v>
      </c>
      <c r="H9" s="473" t="n">
        <v>0.513487221682297</v>
      </c>
      <c r="I9" s="472" t="n">
        <v>0.0684093305807133</v>
      </c>
      <c r="J9" s="472" t="n">
        <v>0.233319766816757</v>
      </c>
      <c r="K9" s="472" t="n">
        <v>0.054406</v>
      </c>
      <c r="L9" s="472" t="n">
        <v>0.669175966787921</v>
      </c>
      <c r="M9" s="472" t="n">
        <v>0.0498021347945462</v>
      </c>
      <c r="N9" s="473" t="n">
        <v>0.156015299832337</v>
      </c>
      <c r="O9" s="473" t="n">
        <v>6.85321329770131</v>
      </c>
      <c r="P9" s="473" t="s">
        <v>1093</v>
      </c>
      <c r="Q9" s="473" t="s">
        <v>1093</v>
      </c>
      <c r="R9" s="473" t="n">
        <v>0.852124925310262</v>
      </c>
      <c r="S9" s="473" t="n">
        <v>27.9628285464191</v>
      </c>
      <c r="T9" s="472" t="s">
        <v>1093</v>
      </c>
      <c r="U9" s="472" t="n">
        <v>0.0286939756647259</v>
      </c>
      <c r="V9" s="472" t="n">
        <v>0.0111215202119929</v>
      </c>
      <c r="W9" s="472" t="s">
        <v>1093</v>
      </c>
      <c r="X9" s="472" t="n">
        <v>0.0874363677293616</v>
      </c>
      <c r="Y9" s="472" t="n">
        <v>0.324094251990863</v>
      </c>
      <c r="Z9" s="472" t="n">
        <v>0.324094251990863</v>
      </c>
      <c r="AA9" s="474" t="n">
        <v>-0.000498505762098014</v>
      </c>
    </row>
    <row r="10" s="475" customFormat="true" ht="12.75" hidden="false" customHeight="true" outlineLevel="0" collapsed="false">
      <c r="A10" s="471" t="s">
        <v>617</v>
      </c>
      <c r="B10" s="263" t="n">
        <v>217</v>
      </c>
      <c r="C10" s="472" t="n">
        <v>0.0862336723163842</v>
      </c>
      <c r="D10" s="472" t="n">
        <v>0.224686943132043</v>
      </c>
      <c r="E10" s="472" t="n">
        <v>0.154179732839332</v>
      </c>
      <c r="F10" s="472" t="n">
        <v>0.261367651900273</v>
      </c>
      <c r="G10" s="473" t="n">
        <v>0.725044343989413</v>
      </c>
      <c r="H10" s="473" t="n">
        <v>0.792670848621214</v>
      </c>
      <c r="I10" s="472" t="n">
        <v>0.0841273687773743</v>
      </c>
      <c r="J10" s="472" t="n">
        <v>0.340092418209791</v>
      </c>
      <c r="K10" s="472" t="n">
        <v>0.057772</v>
      </c>
      <c r="L10" s="472" t="n">
        <v>0.168699409548296</v>
      </c>
      <c r="M10" s="472" t="n">
        <v>0.0772086474756305</v>
      </c>
      <c r="N10" s="473" t="n">
        <v>0.842914356641339</v>
      </c>
      <c r="O10" s="473" t="n">
        <v>3.31756224965282</v>
      </c>
      <c r="P10" s="473" t="n">
        <v>12.2158701754652</v>
      </c>
      <c r="Q10" s="473" t="n">
        <v>14.6655410819235</v>
      </c>
      <c r="R10" s="473" t="n">
        <v>2.79219654124066</v>
      </c>
      <c r="S10" s="473" t="n">
        <v>46.9177942539688</v>
      </c>
      <c r="T10" s="472" t="n">
        <v>0.108939060725233</v>
      </c>
      <c r="U10" s="472" t="n">
        <v>0.0494235246896578</v>
      </c>
      <c r="V10" s="472" t="n">
        <v>0.0215037148390487</v>
      </c>
      <c r="W10" s="472" t="n">
        <v>0.135086667840331</v>
      </c>
      <c r="X10" s="472" t="n">
        <v>0.136855458286277</v>
      </c>
      <c r="Y10" s="472" t="n">
        <v>0.648226266127461</v>
      </c>
      <c r="Z10" s="472" t="n">
        <v>0.648226266127461</v>
      </c>
      <c r="AA10" s="474" t="n">
        <v>0.224004700014751</v>
      </c>
    </row>
    <row r="11" s="475" customFormat="true" ht="12.75" hidden="false" customHeight="true" outlineLevel="0" collapsed="false">
      <c r="A11" s="471" t="s">
        <v>1095</v>
      </c>
      <c r="B11" s="263" t="n">
        <v>94</v>
      </c>
      <c r="C11" s="472" t="n">
        <v>0.114684848484849</v>
      </c>
      <c r="D11" s="472" t="n">
        <v>0.17623730043338</v>
      </c>
      <c r="E11" s="472" t="n">
        <v>0.25367508689543</v>
      </c>
      <c r="F11" s="472" t="n">
        <v>0.215064792316433</v>
      </c>
      <c r="G11" s="473" t="n">
        <v>0.542022657446771</v>
      </c>
      <c r="H11" s="473" t="n">
        <v>0.59284846615832</v>
      </c>
      <c r="I11" s="472" t="n">
        <v>0.0728773686447135</v>
      </c>
      <c r="J11" s="472" t="n">
        <v>0.369295947282489</v>
      </c>
      <c r="K11" s="472" t="n">
        <v>0.057772</v>
      </c>
      <c r="L11" s="472" t="n">
        <v>0.157683313268968</v>
      </c>
      <c r="M11" s="472" t="n">
        <v>0.0681843781577377</v>
      </c>
      <c r="N11" s="473" t="n">
        <v>1.68405887087239</v>
      </c>
      <c r="O11" s="473" t="n">
        <v>3.4794284639413</v>
      </c>
      <c r="P11" s="473" t="n">
        <v>15.9698462335503</v>
      </c>
      <c r="Q11" s="473" t="n">
        <v>19.5684698578334</v>
      </c>
      <c r="R11" s="473" t="n">
        <v>5.76479768147651</v>
      </c>
      <c r="S11" s="473" t="n">
        <v>25.6174741665531</v>
      </c>
      <c r="T11" s="472" t="n">
        <v>-0.0425917960518728</v>
      </c>
      <c r="U11" s="472" t="n">
        <v>0.0508483295234226</v>
      </c>
      <c r="V11" s="472" t="n">
        <v>0.0401722420726272</v>
      </c>
      <c r="W11" s="472" t="n">
        <v>0.328407070732745</v>
      </c>
      <c r="X11" s="472" t="n">
        <v>0.259870688567367</v>
      </c>
      <c r="Y11" s="472" t="n">
        <v>0.692568280907449</v>
      </c>
      <c r="Z11" s="472" t="n">
        <v>0.692568280907449</v>
      </c>
      <c r="AA11" s="474" t="n">
        <v>0.176940029319846</v>
      </c>
    </row>
    <row r="12" s="475" customFormat="true" ht="12.75" hidden="false" customHeight="true" outlineLevel="0" collapsed="false">
      <c r="A12" s="471" t="s">
        <v>1096</v>
      </c>
      <c r="B12" s="263" t="n">
        <v>127</v>
      </c>
      <c r="C12" s="472" t="n">
        <v>0.0437843518518519</v>
      </c>
      <c r="D12" s="472" t="n">
        <v>0.099745610173364</v>
      </c>
      <c r="E12" s="472" t="n">
        <v>0.0950507464301034</v>
      </c>
      <c r="F12" s="472" t="n">
        <v>0.273921886311145</v>
      </c>
      <c r="G12" s="473" t="n">
        <v>0.655770762675625</v>
      </c>
      <c r="H12" s="473" t="n">
        <v>0.832172827138835</v>
      </c>
      <c r="I12" s="472" t="n">
        <v>0.0863513301679164</v>
      </c>
      <c r="J12" s="472" t="n">
        <v>0.404845139444462</v>
      </c>
      <c r="K12" s="472" t="n">
        <v>0.057772</v>
      </c>
      <c r="L12" s="472" t="n">
        <v>0.362132022205792</v>
      </c>
      <c r="M12" s="472" t="n">
        <v>0.0706941587068122</v>
      </c>
      <c r="N12" s="473" t="n">
        <v>1.12468257192833</v>
      </c>
      <c r="O12" s="473" t="n">
        <v>1.28396634799039</v>
      </c>
      <c r="P12" s="473" t="n">
        <v>8.47098553353018</v>
      </c>
      <c r="Q12" s="473" t="n">
        <v>12.4614193830622</v>
      </c>
      <c r="R12" s="473" t="n">
        <v>1.14661466049605</v>
      </c>
      <c r="S12" s="473" t="n">
        <v>24.0900467177271</v>
      </c>
      <c r="T12" s="472" t="n">
        <v>0.114910600269114</v>
      </c>
      <c r="U12" s="472" t="n">
        <v>0.0306837340114204</v>
      </c>
      <c r="V12" s="472" t="n">
        <v>-0.0157354985939152</v>
      </c>
      <c r="W12" s="472" t="n">
        <v>1.19068946746432</v>
      </c>
      <c r="X12" s="472" t="n">
        <v>0.0447378200833449</v>
      </c>
      <c r="Y12" s="472" t="n">
        <v>0.696421692100989</v>
      </c>
      <c r="Z12" s="472" t="n">
        <v>0.696421692100989</v>
      </c>
      <c r="AA12" s="474" t="n">
        <v>0.099906612705458</v>
      </c>
    </row>
    <row r="13" s="475" customFormat="true" ht="12.75" hidden="false" customHeight="true" outlineLevel="0" collapsed="false">
      <c r="A13" s="471" t="s">
        <v>1097</v>
      </c>
      <c r="B13" s="263" t="n">
        <v>623</v>
      </c>
      <c r="C13" s="472" t="n">
        <v>0.20560422037422</v>
      </c>
      <c r="D13" s="472" t="n">
        <v>0.00936980891288772</v>
      </c>
      <c r="E13" s="472" t="s">
        <v>1093</v>
      </c>
      <c r="F13" s="472" t="n">
        <v>0.206571524400334</v>
      </c>
      <c r="G13" s="473" t="n">
        <v>0.489573761614334</v>
      </c>
      <c r="H13" s="473" t="n">
        <v>0.98461362581209</v>
      </c>
      <c r="I13" s="472" t="n">
        <v>0.0949337471332207</v>
      </c>
      <c r="J13" s="472" t="n">
        <v>0.40964256511809</v>
      </c>
      <c r="K13" s="472" t="n">
        <v>0.057772</v>
      </c>
      <c r="L13" s="472" t="n">
        <v>0.641752120181576</v>
      </c>
      <c r="M13" s="472" t="n">
        <v>0.0616791126261398</v>
      </c>
      <c r="N13" s="473" t="n">
        <v>0.220589324174145</v>
      </c>
      <c r="O13" s="473" t="n">
        <v>6.4250860452806</v>
      </c>
      <c r="P13" s="473" t="s">
        <v>1093</v>
      </c>
      <c r="Q13" s="473" t="s">
        <v>1093</v>
      </c>
      <c r="R13" s="473" t="n">
        <v>1.82684368886581</v>
      </c>
      <c r="S13" s="473" t="n">
        <v>53.9842195329623</v>
      </c>
      <c r="T13" s="472" t="n">
        <v>-1.35192026362878</v>
      </c>
      <c r="U13" s="472" t="n">
        <v>0.0205593163903645</v>
      </c>
      <c r="V13" s="472" t="n">
        <v>-0.0232776048017167</v>
      </c>
      <c r="W13" s="472" t="n">
        <v>-18.2782644628456</v>
      </c>
      <c r="X13" s="472" t="n">
        <v>0.126205815233476</v>
      </c>
      <c r="Y13" s="472" t="n">
        <v>0.393746199695314</v>
      </c>
      <c r="Z13" s="472" t="n">
        <v>0.393746199695314</v>
      </c>
      <c r="AA13" s="474" t="n">
        <v>0.00919830364654086</v>
      </c>
    </row>
    <row r="14" s="475" customFormat="true" ht="12.75" hidden="false" customHeight="true" outlineLevel="0" collapsed="false">
      <c r="A14" s="471" t="s">
        <v>619</v>
      </c>
      <c r="B14" s="263" t="n">
        <v>469</v>
      </c>
      <c r="C14" s="472" t="n">
        <v>0.061503543956044</v>
      </c>
      <c r="D14" s="472" t="n">
        <v>0.104013279470123</v>
      </c>
      <c r="E14" s="472" t="n">
        <v>0.141891013638379</v>
      </c>
      <c r="F14" s="472" t="n">
        <v>0.24573048899787</v>
      </c>
      <c r="G14" s="473" t="n">
        <v>0.902720593376641</v>
      </c>
      <c r="H14" s="473" t="n">
        <v>1.00483030675278</v>
      </c>
      <c r="I14" s="472" t="n">
        <v>0.0960719462701813</v>
      </c>
      <c r="J14" s="472" t="n">
        <v>0.346306542579676</v>
      </c>
      <c r="K14" s="472" t="n">
        <v>0.057772</v>
      </c>
      <c r="L14" s="472" t="n">
        <v>0.185531557752461</v>
      </c>
      <c r="M14" s="472" t="n">
        <v>0.0862468067303487</v>
      </c>
      <c r="N14" s="473" t="n">
        <v>1.73604494958541</v>
      </c>
      <c r="O14" s="473" t="n">
        <v>1.88510366158727</v>
      </c>
      <c r="P14" s="473" t="n">
        <v>12.410490288237</v>
      </c>
      <c r="Q14" s="473" t="n">
        <v>17.7727308605995</v>
      </c>
      <c r="R14" s="473" t="n">
        <v>2.79293045048738</v>
      </c>
      <c r="S14" s="473" t="n">
        <v>50.2286828201725</v>
      </c>
      <c r="T14" s="472" t="n">
        <v>0.176443162686894</v>
      </c>
      <c r="U14" s="472" t="n">
        <v>0.0422072158961032</v>
      </c>
      <c r="V14" s="472" t="n">
        <v>0.038512895861398</v>
      </c>
      <c r="W14" s="472" t="n">
        <v>0.567853235676098</v>
      </c>
      <c r="X14" s="472" t="n">
        <v>0.119962312944254</v>
      </c>
      <c r="Y14" s="472" t="n">
        <v>0.394063377276355</v>
      </c>
      <c r="Z14" s="472" t="n">
        <v>0.394063377276354</v>
      </c>
      <c r="AA14" s="474" t="n">
        <v>0.105964566469313</v>
      </c>
    </row>
    <row r="15" s="475" customFormat="true" ht="12.75" hidden="false" customHeight="true" outlineLevel="0" collapsed="false">
      <c r="A15" s="471" t="s">
        <v>1098</v>
      </c>
      <c r="B15" s="263" t="n">
        <v>994</v>
      </c>
      <c r="C15" s="472" t="n">
        <v>0.0831798529411765</v>
      </c>
      <c r="D15" s="472" t="n">
        <v>0.101453141117358</v>
      </c>
      <c r="E15" s="472" t="n">
        <v>0.220923210872255</v>
      </c>
      <c r="F15" s="472" t="n">
        <v>0.240598575019885</v>
      </c>
      <c r="G15" s="473" t="n">
        <v>0.908330381234732</v>
      </c>
      <c r="H15" s="473" t="n">
        <v>0.992145975908686</v>
      </c>
      <c r="I15" s="472" t="n">
        <v>0.095357818443659</v>
      </c>
      <c r="J15" s="472" t="n">
        <v>0.39436765478505</v>
      </c>
      <c r="K15" s="472" t="n">
        <v>0.057772</v>
      </c>
      <c r="L15" s="472" t="n">
        <v>0.170860215989316</v>
      </c>
      <c r="M15" s="472" t="n">
        <v>0.0864316408220335</v>
      </c>
      <c r="N15" s="473" t="n">
        <v>2.7981200268648</v>
      </c>
      <c r="O15" s="473" t="n">
        <v>2.03849415273554</v>
      </c>
      <c r="P15" s="473" t="n">
        <v>14.0866733801447</v>
      </c>
      <c r="Q15" s="473" t="n">
        <v>19.4773067351867</v>
      </c>
      <c r="R15" s="473" t="n">
        <v>4.31250711388123</v>
      </c>
      <c r="S15" s="473" t="n">
        <v>33.3031704642964</v>
      </c>
      <c r="T15" s="472" t="n">
        <v>0.108669582278125</v>
      </c>
      <c r="U15" s="472" t="n">
        <v>0.0243499214536817</v>
      </c>
      <c r="V15" s="472" t="n">
        <v>0.0184769805890268</v>
      </c>
      <c r="W15" s="472" t="n">
        <v>0.330683353275331</v>
      </c>
      <c r="X15" s="472" t="n">
        <v>0.152674801460034</v>
      </c>
      <c r="Y15" s="472" t="n">
        <v>0.501099267590316</v>
      </c>
      <c r="Z15" s="472" t="n">
        <v>0.501099267590316</v>
      </c>
      <c r="AA15" s="474" t="n">
        <v>0.101790709392141</v>
      </c>
    </row>
    <row r="16" s="475" customFormat="true" ht="12.75" hidden="false" customHeight="true" outlineLevel="0" collapsed="false">
      <c r="A16" s="471" t="s">
        <v>620</v>
      </c>
      <c r="B16" s="263" t="n">
        <v>42</v>
      </c>
      <c r="C16" s="472" t="n">
        <v>0.0434432432432432</v>
      </c>
      <c r="D16" s="472" t="n">
        <v>0.173369664167596</v>
      </c>
      <c r="E16" s="472" t="n">
        <v>0.111499646946094</v>
      </c>
      <c r="F16" s="472" t="n">
        <v>0.1902468001306</v>
      </c>
      <c r="G16" s="473" t="n">
        <v>0.590829632758762</v>
      </c>
      <c r="H16" s="473" t="n">
        <v>1.09699526436708</v>
      </c>
      <c r="I16" s="472" t="n">
        <v>0.101260833383866</v>
      </c>
      <c r="J16" s="472" t="n">
        <v>0.390268552739232</v>
      </c>
      <c r="K16" s="472" t="n">
        <v>0.057772</v>
      </c>
      <c r="L16" s="472" t="n">
        <v>0.553901862190496</v>
      </c>
      <c r="M16" s="472" t="n">
        <v>0.0690538829244181</v>
      </c>
      <c r="N16" s="473" t="n">
        <v>0.728954585815852</v>
      </c>
      <c r="O16" s="473" t="n">
        <v>2.16105591207161</v>
      </c>
      <c r="P16" s="473" t="n">
        <v>6.57734225882286</v>
      </c>
      <c r="Q16" s="473" t="n">
        <v>12.4747474079135</v>
      </c>
      <c r="R16" s="473" t="n">
        <v>1.38225389433438</v>
      </c>
      <c r="S16" s="473" t="n">
        <v>69.6570372418184</v>
      </c>
      <c r="T16" s="472" t="n">
        <v>0.0256345744057348</v>
      </c>
      <c r="U16" s="472" t="n">
        <v>0.125310880303123</v>
      </c>
      <c r="V16" s="472" t="n">
        <v>-0.00846223695224528</v>
      </c>
      <c r="W16" s="472" t="n">
        <v>-0.061036979632262</v>
      </c>
      <c r="X16" s="472" t="n">
        <v>0.0811767925861027</v>
      </c>
      <c r="Y16" s="472" t="n">
        <v>0.427508090181722</v>
      </c>
      <c r="Z16" s="472" t="n">
        <v>0.427508090181722</v>
      </c>
      <c r="AA16" s="474" t="n">
        <v>0.170804241592368</v>
      </c>
    </row>
    <row r="17" s="475" customFormat="true" ht="12.75" hidden="false" customHeight="true" outlineLevel="0" collapsed="false">
      <c r="A17" s="471" t="s">
        <v>623</v>
      </c>
      <c r="B17" s="263" t="n">
        <v>909</v>
      </c>
      <c r="C17" s="472" t="n">
        <v>0.102235514403292</v>
      </c>
      <c r="D17" s="472" t="n">
        <v>0.0368352661734558</v>
      </c>
      <c r="E17" s="472" t="n">
        <v>0.0315072484954302</v>
      </c>
      <c r="F17" s="472" t="n">
        <v>0.195213701833955</v>
      </c>
      <c r="G17" s="473" t="n">
        <v>1.00214726133398</v>
      </c>
      <c r="H17" s="473" t="n">
        <v>1.25602575586097</v>
      </c>
      <c r="I17" s="472" t="n">
        <v>0.110214250054973</v>
      </c>
      <c r="J17" s="472" t="n">
        <v>0.376965857683128</v>
      </c>
      <c r="K17" s="472" t="n">
        <v>0.057772</v>
      </c>
      <c r="L17" s="472" t="n">
        <v>0.335458630370949</v>
      </c>
      <c r="M17" s="472" t="n">
        <v>0.087705309250336</v>
      </c>
      <c r="N17" s="473" t="n">
        <v>1.02659600162821</v>
      </c>
      <c r="O17" s="473" t="n">
        <v>1.43035604094434</v>
      </c>
      <c r="P17" s="473" t="n">
        <v>13.7073132053733</v>
      </c>
      <c r="Q17" s="473" t="n">
        <v>36.4645757747393</v>
      </c>
      <c r="R17" s="473" t="n">
        <v>1.44733167168296</v>
      </c>
      <c r="S17" s="473" t="n">
        <v>114.419243723027</v>
      </c>
      <c r="T17" s="472" t="n">
        <v>0.119848593360735</v>
      </c>
      <c r="U17" s="472" t="n">
        <v>0.0800716716532484</v>
      </c>
      <c r="V17" s="472" t="n">
        <v>0.0426950709628064</v>
      </c>
      <c r="W17" s="472" t="n">
        <v>1.38726523228531</v>
      </c>
      <c r="X17" s="472" t="n">
        <v>-0.00557378263095967</v>
      </c>
      <c r="Y17" s="472" t="n">
        <v>0.0257938561950232</v>
      </c>
      <c r="Z17" s="472" t="n">
        <v>0.0257938561950232</v>
      </c>
      <c r="AA17" s="474" t="n">
        <v>0.0377066287946879</v>
      </c>
    </row>
    <row r="18" s="475" customFormat="true" ht="12.75" hidden="false" customHeight="true" outlineLevel="0" collapsed="false">
      <c r="A18" s="471" t="s">
        <v>624</v>
      </c>
      <c r="B18" s="263" t="n">
        <v>63</v>
      </c>
      <c r="C18" s="472" t="n">
        <v>0.0866641379310345</v>
      </c>
      <c r="D18" s="472" t="n">
        <v>0.0682930680836051</v>
      </c>
      <c r="E18" s="472" t="n">
        <v>0.0638700853301081</v>
      </c>
      <c r="F18" s="472" t="n">
        <v>0.261987856048347</v>
      </c>
      <c r="G18" s="473" t="n">
        <v>0.910057127174919</v>
      </c>
      <c r="H18" s="473" t="n">
        <v>1.16920253953471</v>
      </c>
      <c r="I18" s="472" t="n">
        <v>0.105326102975804</v>
      </c>
      <c r="J18" s="472" t="n">
        <v>0.297633518244066</v>
      </c>
      <c r="K18" s="472" t="n">
        <v>0.054406</v>
      </c>
      <c r="L18" s="472" t="n">
        <v>0.344344629204773</v>
      </c>
      <c r="M18" s="472" t="n">
        <v>0.0830391181919861</v>
      </c>
      <c r="N18" s="473" t="n">
        <v>1.21171640859813</v>
      </c>
      <c r="O18" s="473" t="n">
        <v>1.09533195940077</v>
      </c>
      <c r="P18" s="473" t="n">
        <v>8.65486270645601</v>
      </c>
      <c r="Q18" s="473" t="n">
        <v>16.0032352044593</v>
      </c>
      <c r="R18" s="473" t="n">
        <v>1.24906542035511</v>
      </c>
      <c r="S18" s="473" t="n">
        <v>25.3104583731583</v>
      </c>
      <c r="T18" s="472" t="n">
        <v>0.209491690652029</v>
      </c>
      <c r="U18" s="472" t="n">
        <v>0.0714486337915679</v>
      </c>
      <c r="V18" s="472" t="n">
        <v>0.0376556738789006</v>
      </c>
      <c r="W18" s="472" t="n">
        <v>0.787992149703295</v>
      </c>
      <c r="X18" s="472" t="n">
        <v>0.0461238137397456</v>
      </c>
      <c r="Y18" s="472" t="n">
        <v>0.947957971598731</v>
      </c>
      <c r="Z18" s="472" t="n">
        <v>0.947957971598731</v>
      </c>
      <c r="AA18" s="474" t="n">
        <v>0.0718623541676147</v>
      </c>
    </row>
    <row r="19" s="475" customFormat="true" ht="12.75" hidden="false" customHeight="true" outlineLevel="0" collapsed="false">
      <c r="A19" s="471" t="s">
        <v>625</v>
      </c>
      <c r="B19" s="263" t="n">
        <v>952</v>
      </c>
      <c r="C19" s="472" t="n">
        <v>0.104829791086351</v>
      </c>
      <c r="D19" s="472" t="n">
        <v>0.109658944455351</v>
      </c>
      <c r="E19" s="472" t="n">
        <v>0.0951196380385718</v>
      </c>
      <c r="F19" s="472" t="n">
        <v>0.236858449876257</v>
      </c>
      <c r="G19" s="473" t="n">
        <v>1.04280687615053</v>
      </c>
      <c r="H19" s="473" t="n">
        <v>1.15362657054978</v>
      </c>
      <c r="I19" s="472" t="n">
        <v>0.104449175921953</v>
      </c>
      <c r="J19" s="472" t="n">
        <v>0.394456146621222</v>
      </c>
      <c r="K19" s="472" t="n">
        <v>0.057772</v>
      </c>
      <c r="L19" s="472" t="n">
        <v>0.190382632218366</v>
      </c>
      <c r="M19" s="472" t="n">
        <v>0.0927722604421962</v>
      </c>
      <c r="N19" s="473" t="n">
        <v>1.08680103646463</v>
      </c>
      <c r="O19" s="473" t="n">
        <v>2.36914722127073</v>
      </c>
      <c r="P19" s="473" t="n">
        <v>13.1042212036673</v>
      </c>
      <c r="Q19" s="473" t="n">
        <v>21.1322170653435</v>
      </c>
      <c r="R19" s="473" t="n">
        <v>2.30593202641952</v>
      </c>
      <c r="S19" s="473" t="n">
        <v>71.552481856162</v>
      </c>
      <c r="T19" s="472" t="n">
        <v>0.188851790471505</v>
      </c>
      <c r="U19" s="472" t="n">
        <v>0.0835694803084757</v>
      </c>
      <c r="V19" s="472" t="n">
        <v>0.0405974360086506</v>
      </c>
      <c r="W19" s="472" t="n">
        <v>0.571405323635701</v>
      </c>
      <c r="X19" s="472" t="n">
        <v>0.0775498928278619</v>
      </c>
      <c r="Y19" s="472" t="n">
        <v>0.632293313315379</v>
      </c>
      <c r="Z19" s="472" t="n">
        <v>0.632293313315379</v>
      </c>
      <c r="AA19" s="474" t="n">
        <v>0.111408250671883</v>
      </c>
    </row>
    <row r="20" s="475" customFormat="true" ht="12.75" hidden="false" customHeight="true" outlineLevel="0" collapsed="false">
      <c r="A20" s="471" t="s">
        <v>1099</v>
      </c>
      <c r="B20" s="263" t="n">
        <v>212</v>
      </c>
      <c r="C20" s="472" t="n">
        <v>0.141764579439252</v>
      </c>
      <c r="D20" s="472" t="n">
        <v>0.160380928991067</v>
      </c>
      <c r="E20" s="472" t="n">
        <v>0.141533947599747</v>
      </c>
      <c r="F20" s="472" t="n">
        <v>0.225336914072534</v>
      </c>
      <c r="G20" s="473" t="n">
        <v>1.13300487635447</v>
      </c>
      <c r="H20" s="473" t="n">
        <v>1.14293974579776</v>
      </c>
      <c r="I20" s="472" t="n">
        <v>0.103847507688414</v>
      </c>
      <c r="J20" s="472" t="n">
        <v>0.586320364367519</v>
      </c>
      <c r="K20" s="472" t="n">
        <v>0.060013</v>
      </c>
      <c r="L20" s="472" t="n">
        <v>0.165993400615031</v>
      </c>
      <c r="M20" s="472" t="n">
        <v>0.0940439696859316</v>
      </c>
      <c r="N20" s="473" t="n">
        <v>1.01814187712425</v>
      </c>
      <c r="O20" s="473" t="n">
        <v>2.13849408779691</v>
      </c>
      <c r="P20" s="473" t="n">
        <v>7.96350249548817</v>
      </c>
      <c r="Q20" s="473" t="n">
        <v>12.4482755576951</v>
      </c>
      <c r="R20" s="473" t="n">
        <v>1.70275911879879</v>
      </c>
      <c r="S20" s="473" t="n">
        <v>55.8382233156087</v>
      </c>
      <c r="T20" s="472" t="n">
        <v>-0.0318238635545584</v>
      </c>
      <c r="U20" s="472" t="n">
        <v>0.153179299377849</v>
      </c>
      <c r="V20" s="472" t="n">
        <v>0.0798064560628449</v>
      </c>
      <c r="W20" s="472" t="n">
        <v>0.810191417650704</v>
      </c>
      <c r="X20" s="472" t="n">
        <v>0.106430578450384</v>
      </c>
      <c r="Y20" s="472" t="n">
        <v>0.145735647081547</v>
      </c>
      <c r="Z20" s="472" t="n">
        <v>0.145735647081547</v>
      </c>
      <c r="AA20" s="474" t="n">
        <v>0.160056085065175</v>
      </c>
    </row>
    <row r="21" s="475" customFormat="true" ht="12.75" hidden="false" customHeight="true" outlineLevel="0" collapsed="false">
      <c r="A21" s="471" t="s">
        <v>1100</v>
      </c>
      <c r="B21" s="263" t="n">
        <v>1225</v>
      </c>
      <c r="C21" s="472" t="n">
        <v>0.136244160671463</v>
      </c>
      <c r="D21" s="472" t="n">
        <v>0.0755971556470897</v>
      </c>
      <c r="E21" s="472" t="n">
        <v>0.209553057589528</v>
      </c>
      <c r="F21" s="472" t="n">
        <v>0.241104512501915</v>
      </c>
      <c r="G21" s="473" t="n">
        <v>1.07157696207709</v>
      </c>
      <c r="H21" s="473" t="n">
        <v>1.11669048230734</v>
      </c>
      <c r="I21" s="472" t="n">
        <v>0.102369674153903</v>
      </c>
      <c r="J21" s="472" t="n">
        <v>0.425142502564806</v>
      </c>
      <c r="K21" s="472" t="n">
        <v>0.057772</v>
      </c>
      <c r="L21" s="472" t="n">
        <v>0.130536192456826</v>
      </c>
      <c r="M21" s="472" t="n">
        <v>0.0946348264031993</v>
      </c>
      <c r="N21" s="473" t="n">
        <v>3.75469656936751</v>
      </c>
      <c r="O21" s="473" t="n">
        <v>1.46269153165175</v>
      </c>
      <c r="P21" s="473" t="n">
        <v>14.6218941050317</v>
      </c>
      <c r="Q21" s="473" t="n">
        <v>18.5067897891846</v>
      </c>
      <c r="R21" s="473" t="n">
        <v>3.98844781296585</v>
      </c>
      <c r="S21" s="473" t="n">
        <v>57.1524916632356</v>
      </c>
      <c r="T21" s="472" t="n">
        <v>0.29866240357601</v>
      </c>
      <c r="U21" s="472" t="n">
        <v>0.0112750040934976</v>
      </c>
      <c r="V21" s="472" t="n">
        <v>0.0129562131928168</v>
      </c>
      <c r="W21" s="472" t="n">
        <v>0.320469594613092</v>
      </c>
      <c r="X21" s="472" t="n">
        <v>0.171224918490824</v>
      </c>
      <c r="Y21" s="472" t="n">
        <v>0.530889362771159</v>
      </c>
      <c r="Z21" s="472" t="n">
        <v>0.530889362771159</v>
      </c>
      <c r="AA21" s="474" t="n">
        <v>0.0769969055442346</v>
      </c>
    </row>
    <row r="22" s="475" customFormat="true" ht="12.75" hidden="false" customHeight="true" outlineLevel="0" collapsed="false">
      <c r="A22" s="471" t="s">
        <v>37</v>
      </c>
      <c r="B22" s="263" t="n">
        <v>343</v>
      </c>
      <c r="C22" s="472" t="n">
        <v>0.0326914126394052</v>
      </c>
      <c r="D22" s="472" t="n">
        <v>0.126116126089593</v>
      </c>
      <c r="E22" s="472" t="n">
        <v>0.199101850257736</v>
      </c>
      <c r="F22" s="472" t="n">
        <v>0.152115339353645</v>
      </c>
      <c r="G22" s="473" t="n">
        <v>1.46819825580533</v>
      </c>
      <c r="H22" s="473" t="n">
        <v>1.48610469895108</v>
      </c>
      <c r="I22" s="472" t="n">
        <v>0.123167694550946</v>
      </c>
      <c r="J22" s="472" t="n">
        <v>0.435586370554617</v>
      </c>
      <c r="K22" s="472" t="n">
        <v>0.057772</v>
      </c>
      <c r="L22" s="472" t="n">
        <v>0.0582940538462114</v>
      </c>
      <c r="M22" s="472" t="n">
        <v>0.11850111266469</v>
      </c>
      <c r="N22" s="473" t="n">
        <v>2.48353569745786</v>
      </c>
      <c r="O22" s="473" t="n">
        <v>3.40196450172307</v>
      </c>
      <c r="P22" s="473" t="n">
        <v>20.1763139625256</v>
      </c>
      <c r="Q22" s="473" t="n">
        <v>26.7284419188828</v>
      </c>
      <c r="R22" s="473" t="n">
        <v>8.10898324336116</v>
      </c>
      <c r="S22" s="473" t="n">
        <v>72.0956910513106</v>
      </c>
      <c r="T22" s="472" t="n">
        <v>0.0468501235687087</v>
      </c>
      <c r="U22" s="472" t="n">
        <v>0.0465869106818937</v>
      </c>
      <c r="V22" s="472" t="n">
        <v>0.0447009505701501</v>
      </c>
      <c r="W22" s="472" t="n">
        <v>0.56360632104727</v>
      </c>
      <c r="X22" s="472" t="n">
        <v>0.277039452958027</v>
      </c>
      <c r="Y22" s="472" t="n">
        <v>0.227822978279324</v>
      </c>
      <c r="Z22" s="472" t="n">
        <v>0.227822978279324</v>
      </c>
      <c r="AA22" s="474" t="n">
        <v>0.130894536611793</v>
      </c>
    </row>
    <row r="23" s="475" customFormat="true" ht="12.75" hidden="false" customHeight="true" outlineLevel="0" collapsed="false">
      <c r="A23" s="471" t="s">
        <v>1101</v>
      </c>
      <c r="B23" s="263" t="n">
        <v>804</v>
      </c>
      <c r="C23" s="472" t="n">
        <v>0.107288466353678</v>
      </c>
      <c r="D23" s="472" t="n">
        <v>0.0970967304660736</v>
      </c>
      <c r="E23" s="472" t="n">
        <v>0.0929238313776163</v>
      </c>
      <c r="F23" s="472" t="n">
        <v>0.217997532778156</v>
      </c>
      <c r="G23" s="473" t="n">
        <v>0.916676263756567</v>
      </c>
      <c r="H23" s="473" t="n">
        <v>1.03439557551706</v>
      </c>
      <c r="I23" s="472" t="n">
        <v>0.0977364709016103</v>
      </c>
      <c r="J23" s="472" t="n">
        <v>0.373168716217947</v>
      </c>
      <c r="K23" s="472" t="n">
        <v>0.057772</v>
      </c>
      <c r="L23" s="472" t="n">
        <v>0.232374586691848</v>
      </c>
      <c r="M23" s="472" t="n">
        <v>0.0850438857827971</v>
      </c>
      <c r="N23" s="473" t="n">
        <v>1.2257628695257</v>
      </c>
      <c r="O23" s="473" t="n">
        <v>1.8011433977328</v>
      </c>
      <c r="P23" s="473" t="n">
        <v>12.3095088469751</v>
      </c>
      <c r="Q23" s="473" t="n">
        <v>18.0662925121075</v>
      </c>
      <c r="R23" s="473" t="n">
        <v>2.08555201443746</v>
      </c>
      <c r="S23" s="473" t="n">
        <v>113.953724234675</v>
      </c>
      <c r="T23" s="472" t="n">
        <v>0.17410989427285</v>
      </c>
      <c r="U23" s="472" t="n">
        <v>0.0503969299853384</v>
      </c>
      <c r="V23" s="472" t="n">
        <v>0.0325871821484195</v>
      </c>
      <c r="W23" s="472" t="n">
        <v>0.503036224569038</v>
      </c>
      <c r="X23" s="472" t="n">
        <v>0.123136796846912</v>
      </c>
      <c r="Y23" s="472" t="n">
        <v>0.380824118527009</v>
      </c>
      <c r="Z23" s="472" t="n">
        <v>0.380824118527009</v>
      </c>
      <c r="AA23" s="474" t="n">
        <v>0.0987555874480317</v>
      </c>
    </row>
    <row r="24" s="475" customFormat="true" ht="12.75" hidden="false" customHeight="true" outlineLevel="0" collapsed="false">
      <c r="A24" s="471" t="s">
        <v>1102</v>
      </c>
      <c r="B24" s="263" t="n">
        <v>329</v>
      </c>
      <c r="C24" s="472" t="n">
        <v>0.152880221402214</v>
      </c>
      <c r="D24" s="472" t="n">
        <v>0.151130191418059</v>
      </c>
      <c r="E24" s="472" t="n">
        <v>0.0898486774942266</v>
      </c>
      <c r="F24" s="472" t="n">
        <v>0.186621948375049</v>
      </c>
      <c r="G24" s="473" t="n">
        <v>0.65257439783956</v>
      </c>
      <c r="H24" s="473" t="n">
        <v>0.797388174455074</v>
      </c>
      <c r="I24" s="472" t="n">
        <v>0.0843929542218207</v>
      </c>
      <c r="J24" s="472" t="n">
        <v>0.300195753833482</v>
      </c>
      <c r="K24" s="472" t="n">
        <v>0.057772</v>
      </c>
      <c r="L24" s="472" t="n">
        <v>0.326613050311706</v>
      </c>
      <c r="M24" s="472" t="n">
        <v>0.0709111152457439</v>
      </c>
      <c r="N24" s="473" t="n">
        <v>0.713018226876631</v>
      </c>
      <c r="O24" s="473" t="n">
        <v>2.14261086024573</v>
      </c>
      <c r="P24" s="473" t="n">
        <v>10.9359861796921</v>
      </c>
      <c r="Q24" s="473" t="n">
        <v>13.8779656504183</v>
      </c>
      <c r="R24" s="473" t="n">
        <v>1.21908316446892</v>
      </c>
      <c r="S24" s="473" t="n">
        <v>30.9037424972457</v>
      </c>
      <c r="T24" s="472" t="n">
        <v>0.0604730787075065</v>
      </c>
      <c r="U24" s="472" t="n">
        <v>0.0504974746833843</v>
      </c>
      <c r="V24" s="472" t="n">
        <v>0.0411897045866618</v>
      </c>
      <c r="W24" s="472" t="n">
        <v>0.39409375342681</v>
      </c>
      <c r="X24" s="472" t="n">
        <v>0.0894059808623032</v>
      </c>
      <c r="Y24" s="472" t="n">
        <v>0.227553792682543</v>
      </c>
      <c r="Z24" s="472" t="n">
        <v>0.227553792682543</v>
      </c>
      <c r="AA24" s="474" t="n">
        <v>0.151424270335396</v>
      </c>
    </row>
    <row r="25" s="475" customFormat="true" ht="12.75" hidden="false" customHeight="true" outlineLevel="0" collapsed="false">
      <c r="A25" s="471" t="s">
        <v>1103</v>
      </c>
      <c r="B25" s="263" t="n">
        <v>1193</v>
      </c>
      <c r="C25" s="472" t="n">
        <v>0.274688024439918</v>
      </c>
      <c r="D25" s="472" t="n">
        <v>0.0747631386588691</v>
      </c>
      <c r="E25" s="472" t="n">
        <v>0.0299425147378599</v>
      </c>
      <c r="F25" s="472" t="n">
        <v>0.15147358740108</v>
      </c>
      <c r="G25" s="473" t="n">
        <v>1.18080922611008</v>
      </c>
      <c r="H25" s="473" t="n">
        <v>1.23079009870406</v>
      </c>
      <c r="I25" s="472" t="n">
        <v>0.108793482557039</v>
      </c>
      <c r="J25" s="472" t="n">
        <v>0.655115685713298</v>
      </c>
      <c r="K25" s="472" t="n">
        <v>0.067295</v>
      </c>
      <c r="L25" s="472" t="n">
        <v>0.109923431381844</v>
      </c>
      <c r="M25" s="472" t="n">
        <v>0.102355132628454</v>
      </c>
      <c r="N25" s="473" t="n">
        <v>0.713710665089352</v>
      </c>
      <c r="O25" s="473" t="n">
        <v>7.94124253718509</v>
      </c>
      <c r="P25" s="473" t="n">
        <v>16.7139255842355</v>
      </c>
      <c r="Q25" s="473" t="n">
        <v>77.6872538057531</v>
      </c>
      <c r="R25" s="473" t="n">
        <v>6.16991008259856</v>
      </c>
      <c r="S25" s="473" t="n">
        <v>161.436370855939</v>
      </c>
      <c r="T25" s="472" t="n">
        <v>0.206118565236988</v>
      </c>
      <c r="U25" s="472" t="n">
        <v>0.0412588124791181</v>
      </c>
      <c r="V25" s="472" t="n">
        <v>-0.0087757113718153</v>
      </c>
      <c r="W25" s="472" t="n">
        <v>0.288401335422779</v>
      </c>
      <c r="X25" s="472" t="n">
        <v>-0.0324090810158288</v>
      </c>
      <c r="Y25" s="472" t="n">
        <v>0.0030828404605788</v>
      </c>
      <c r="Z25" s="472" t="n">
        <v>0.00308284046057883</v>
      </c>
      <c r="AA25" s="474" t="n">
        <v>0.077118143416144</v>
      </c>
    </row>
    <row r="26" s="475" customFormat="true" ht="12.75" hidden="false" customHeight="true" outlineLevel="0" collapsed="false">
      <c r="A26" s="471" t="s">
        <v>1104</v>
      </c>
      <c r="B26" s="263" t="n">
        <v>1260</v>
      </c>
      <c r="C26" s="472" t="n">
        <v>0.140502345238095</v>
      </c>
      <c r="D26" s="472" t="n">
        <v>0.230700598161925</v>
      </c>
      <c r="E26" s="472" t="n">
        <v>0.147372832071721</v>
      </c>
      <c r="F26" s="472" t="n">
        <v>0.1785869778713</v>
      </c>
      <c r="G26" s="473" t="n">
        <v>0.998754303547714</v>
      </c>
      <c r="H26" s="473" t="n">
        <v>1.06259030452223</v>
      </c>
      <c r="I26" s="472" t="n">
        <v>0.0993238341446013</v>
      </c>
      <c r="J26" s="472" t="n">
        <v>0.474857894190297</v>
      </c>
      <c r="K26" s="472" t="n">
        <v>0.060013</v>
      </c>
      <c r="L26" s="472" t="n">
        <v>0.129978872744778</v>
      </c>
      <c r="M26" s="472" t="n">
        <v>0.0922352891515879</v>
      </c>
      <c r="N26" s="473" t="n">
        <v>1.06978985539705</v>
      </c>
      <c r="O26" s="473" t="n">
        <v>4.39621601005447</v>
      </c>
      <c r="P26" s="473" t="n">
        <v>13.8479503394449</v>
      </c>
      <c r="Q26" s="473" t="n">
        <v>18.2524983426277</v>
      </c>
      <c r="R26" s="473" t="n">
        <v>4.16831560585248</v>
      </c>
      <c r="S26" s="473" t="n">
        <v>87.1395900402255</v>
      </c>
      <c r="T26" s="472" t="n">
        <v>0.185419743426648</v>
      </c>
      <c r="U26" s="472" t="n">
        <v>0.0551696051293072</v>
      </c>
      <c r="V26" s="472" t="n">
        <v>0.0410022169242616</v>
      </c>
      <c r="W26" s="472" t="n">
        <v>0.27397381866172</v>
      </c>
      <c r="X26" s="472" t="n">
        <v>0.167696557653843</v>
      </c>
      <c r="Y26" s="472" t="n">
        <v>0.576212848099197</v>
      </c>
      <c r="Z26" s="472" t="n">
        <v>0.576212848099197</v>
      </c>
      <c r="AA26" s="474" t="n">
        <v>0.232777170289741</v>
      </c>
    </row>
    <row r="27" s="475" customFormat="true" ht="12.75" hidden="false" customHeight="true" outlineLevel="0" collapsed="false">
      <c r="A27" s="471" t="s">
        <v>1105</v>
      </c>
      <c r="B27" s="263" t="n">
        <v>281</v>
      </c>
      <c r="C27" s="472" t="n">
        <v>0.162024278074866</v>
      </c>
      <c r="D27" s="472" t="n">
        <v>0.159252244777474</v>
      </c>
      <c r="E27" s="472" t="n">
        <v>0.143616830591146</v>
      </c>
      <c r="F27" s="472" t="n">
        <v>0.218208339115774</v>
      </c>
      <c r="G27" s="473" t="n">
        <v>0.744577228188247</v>
      </c>
      <c r="H27" s="473" t="n">
        <v>0.811740927910126</v>
      </c>
      <c r="I27" s="472" t="n">
        <v>0.0852010142413401</v>
      </c>
      <c r="J27" s="472" t="n">
        <v>0.41912512357538</v>
      </c>
      <c r="K27" s="472" t="n">
        <v>0.057772</v>
      </c>
      <c r="L27" s="472" t="n">
        <v>0.222442010171328</v>
      </c>
      <c r="M27" s="472" t="n">
        <v>0.0758393708202709</v>
      </c>
      <c r="N27" s="473" t="n">
        <v>1.15857702991472</v>
      </c>
      <c r="O27" s="473" t="n">
        <v>2.059812675436</v>
      </c>
      <c r="P27" s="473" t="n">
        <v>8.96222721383151</v>
      </c>
      <c r="Q27" s="473" t="n">
        <v>12.6386234104291</v>
      </c>
      <c r="R27" s="473" t="n">
        <v>1.8752456663874</v>
      </c>
      <c r="S27" s="473" t="n">
        <v>43.5698184457897</v>
      </c>
      <c r="T27" s="472" t="n">
        <v>0.0596216567596865</v>
      </c>
      <c r="U27" s="472" t="n">
        <v>0.048031199112031</v>
      </c>
      <c r="V27" s="472" t="n">
        <v>0.0171644131142094</v>
      </c>
      <c r="W27" s="472" t="n">
        <v>0.268208825424886</v>
      </c>
      <c r="X27" s="472" t="n">
        <v>0.123122378474539</v>
      </c>
      <c r="Y27" s="472" t="n">
        <v>0.291698943380429</v>
      </c>
      <c r="Z27" s="472" t="n">
        <v>0.291698943380429</v>
      </c>
      <c r="AA27" s="474" t="n">
        <v>0.158969011417232</v>
      </c>
    </row>
    <row r="28" s="475" customFormat="true" ht="12.75" hidden="false" customHeight="true" outlineLevel="0" collapsed="false">
      <c r="A28" s="471" t="s">
        <v>637</v>
      </c>
      <c r="B28" s="263" t="n">
        <v>1158</v>
      </c>
      <c r="C28" s="472" t="n">
        <v>0.122625144654088</v>
      </c>
      <c r="D28" s="472" t="n">
        <v>0.0834688635316679</v>
      </c>
      <c r="E28" s="472" t="n">
        <v>0.114496131609131</v>
      </c>
      <c r="F28" s="472" t="n">
        <v>0.208282665574002</v>
      </c>
      <c r="G28" s="473" t="n">
        <v>1.34064102831014</v>
      </c>
      <c r="H28" s="473" t="n">
        <v>1.37347459397753</v>
      </c>
      <c r="I28" s="472" t="n">
        <v>0.116826619640935</v>
      </c>
      <c r="J28" s="472" t="n">
        <v>0.467595365334725</v>
      </c>
      <c r="K28" s="472" t="n">
        <v>0.060013</v>
      </c>
      <c r="L28" s="472" t="n">
        <v>0.120786568693996</v>
      </c>
      <c r="M28" s="472" t="n">
        <v>0.108125285954578</v>
      </c>
      <c r="N28" s="473" t="n">
        <v>1.76125580909048</v>
      </c>
      <c r="O28" s="473" t="n">
        <v>2.77345213696989</v>
      </c>
      <c r="P28" s="473" t="n">
        <v>20.8557274158232</v>
      </c>
      <c r="Q28" s="473" t="n">
        <v>31.704509802256</v>
      </c>
      <c r="R28" s="473" t="n">
        <v>4.04395620178644</v>
      </c>
      <c r="S28" s="473" t="n">
        <v>68.1079299666679</v>
      </c>
      <c r="T28" s="472" t="n">
        <v>0.223440536811224</v>
      </c>
      <c r="U28" s="472" t="n">
        <v>0.064868867893917</v>
      </c>
      <c r="V28" s="472" t="n">
        <v>0.0502991051520088</v>
      </c>
      <c r="W28" s="472" t="n">
        <v>0.933574556441949</v>
      </c>
      <c r="X28" s="472" t="n">
        <v>0.0961873341842435</v>
      </c>
      <c r="Y28" s="472" t="n">
        <v>0.543406594076422</v>
      </c>
      <c r="Z28" s="472" t="n">
        <v>0.543406594076422</v>
      </c>
      <c r="AA28" s="474" t="n">
        <v>0.0867294185010044</v>
      </c>
    </row>
    <row r="29" s="475" customFormat="true" ht="12.75" hidden="false" customHeight="true" outlineLevel="0" collapsed="false">
      <c r="A29" s="471" t="s">
        <v>1106</v>
      </c>
      <c r="B29" s="263" t="n">
        <v>122</v>
      </c>
      <c r="C29" s="472" t="n">
        <v>0.0487872</v>
      </c>
      <c r="D29" s="472" t="n">
        <v>0.0602429906955221</v>
      </c>
      <c r="E29" s="472" t="n">
        <v>0.080679304960386</v>
      </c>
      <c r="F29" s="472" t="n">
        <v>0.202203997099822</v>
      </c>
      <c r="G29" s="473" t="n">
        <v>1.19258726124706</v>
      </c>
      <c r="H29" s="473" t="n">
        <v>1.19705772657627</v>
      </c>
      <c r="I29" s="472" t="n">
        <v>0.106894350006244</v>
      </c>
      <c r="J29" s="472" t="n">
        <v>0.436335238563295</v>
      </c>
      <c r="K29" s="472" t="n">
        <v>0.057772</v>
      </c>
      <c r="L29" s="472" t="n">
        <v>0.140407784960257</v>
      </c>
      <c r="M29" s="472" t="n">
        <v>0.0979392669489986</v>
      </c>
      <c r="N29" s="473" t="n">
        <v>1.90589824852193</v>
      </c>
      <c r="O29" s="473" t="n">
        <v>1.03926070573414</v>
      </c>
      <c r="P29" s="473" t="n">
        <v>10.7416889595501</v>
      </c>
      <c r="Q29" s="473" t="n">
        <v>16.9014041288147</v>
      </c>
      <c r="R29" s="473" t="n">
        <v>2.03973017756792</v>
      </c>
      <c r="S29" s="473" t="n">
        <v>41.3017858894366</v>
      </c>
      <c r="T29" s="472" t="n">
        <v>0.0519068560488768</v>
      </c>
      <c r="U29" s="472" t="n">
        <v>0.0387459796261501</v>
      </c>
      <c r="V29" s="472" t="n">
        <v>0.026250634106917</v>
      </c>
      <c r="W29" s="472" t="n">
        <v>0.536552667516049</v>
      </c>
      <c r="X29" s="472" t="n">
        <v>0.0960348603782363</v>
      </c>
      <c r="Y29" s="472" t="n">
        <v>0.260302959111059</v>
      </c>
      <c r="Z29" s="472" t="n">
        <v>0.26030295911106</v>
      </c>
      <c r="AA29" s="474" t="n">
        <v>0.0624039614664752</v>
      </c>
    </row>
    <row r="30" s="475" customFormat="true" ht="12.75" hidden="false" customHeight="true" outlineLevel="0" collapsed="false">
      <c r="A30" s="471" t="s">
        <v>781</v>
      </c>
      <c r="B30" s="263" t="n">
        <v>1481</v>
      </c>
      <c r="C30" s="472" t="n">
        <v>0.0676198357821954</v>
      </c>
      <c r="D30" s="472" t="n">
        <v>0.0628517872703187</v>
      </c>
      <c r="E30" s="472" t="n">
        <v>0.0823833957713749</v>
      </c>
      <c r="F30" s="472" t="n">
        <v>0.206930997831054</v>
      </c>
      <c r="G30" s="473" t="n">
        <v>1.56850480083524</v>
      </c>
      <c r="H30" s="473" t="n">
        <v>1.59818800996266</v>
      </c>
      <c r="I30" s="472" t="n">
        <v>0.129477984960898</v>
      </c>
      <c r="J30" s="472" t="n">
        <v>0.443746620592691</v>
      </c>
      <c r="K30" s="472" t="n">
        <v>0.057772</v>
      </c>
      <c r="L30" s="472" t="n">
        <v>0.124101438938019</v>
      </c>
      <c r="M30" s="472" t="n">
        <v>0.118760244487379</v>
      </c>
      <c r="N30" s="473" t="n">
        <v>1.69670157369043</v>
      </c>
      <c r="O30" s="473" t="n">
        <v>2.22853801731914</v>
      </c>
      <c r="P30" s="473" t="n">
        <v>18.7331959027126</v>
      </c>
      <c r="Q30" s="473" t="n">
        <v>33.6422878486671</v>
      </c>
      <c r="R30" s="473" t="n">
        <v>3.32191146468199</v>
      </c>
      <c r="S30" s="473" t="n">
        <v>71.3835612205128</v>
      </c>
      <c r="T30" s="472" t="n">
        <v>0.184223332391551</v>
      </c>
      <c r="U30" s="472" t="n">
        <v>0.0558990803782144</v>
      </c>
      <c r="V30" s="472" t="n">
        <v>0.0357832964391273</v>
      </c>
      <c r="W30" s="472" t="n">
        <v>1.07681885651042</v>
      </c>
      <c r="X30" s="472" t="n">
        <v>0.0883325623399553</v>
      </c>
      <c r="Y30" s="472" t="n">
        <v>0.473841378453791</v>
      </c>
      <c r="Z30" s="472" t="n">
        <v>0.473841378453791</v>
      </c>
      <c r="AA30" s="474" t="n">
        <v>0.0661961906504079</v>
      </c>
    </row>
    <row r="31" s="475" customFormat="true" ht="12.75" hidden="false" customHeight="true" outlineLevel="0" collapsed="false">
      <c r="A31" s="471" t="s">
        <v>1107</v>
      </c>
      <c r="B31" s="263" t="n">
        <v>1390</v>
      </c>
      <c r="C31" s="472" t="n">
        <v>0.103901610337972</v>
      </c>
      <c r="D31" s="472" t="n">
        <v>0.0510331374740849</v>
      </c>
      <c r="E31" s="472" t="n">
        <v>0.0719137042553061</v>
      </c>
      <c r="F31" s="472" t="n">
        <v>0.234938999332137</v>
      </c>
      <c r="G31" s="473" t="n">
        <v>0.759317394685701</v>
      </c>
      <c r="H31" s="473" t="n">
        <v>1.00104919967825</v>
      </c>
      <c r="I31" s="472" t="n">
        <v>0.0958590699418853</v>
      </c>
      <c r="J31" s="472" t="n">
        <v>0.401333426615013</v>
      </c>
      <c r="K31" s="472" t="n">
        <v>0.057772</v>
      </c>
      <c r="L31" s="472" t="n">
        <v>0.433594231896676</v>
      </c>
      <c r="M31" s="472" t="n">
        <v>0.0729896510718839</v>
      </c>
      <c r="N31" s="473" t="n">
        <v>1.8622198609708</v>
      </c>
      <c r="O31" s="473" t="n">
        <v>0.833141716390455</v>
      </c>
      <c r="P31" s="473" t="n">
        <v>11.256761786656</v>
      </c>
      <c r="Q31" s="473" t="n">
        <v>15.7324770122029</v>
      </c>
      <c r="R31" s="473" t="n">
        <v>1.3387972699295</v>
      </c>
      <c r="S31" s="473" t="n">
        <v>54.7752388140856</v>
      </c>
      <c r="T31" s="472" t="n">
        <v>0.166742074480186</v>
      </c>
      <c r="U31" s="472" t="n">
        <v>0.0309763360752961</v>
      </c>
      <c r="V31" s="472" t="n">
        <v>0.0203039147280975</v>
      </c>
      <c r="W31" s="472" t="n">
        <v>1.33405818720265</v>
      </c>
      <c r="X31" s="472" t="n">
        <v>0.103838963520173</v>
      </c>
      <c r="Y31" s="472" t="n">
        <v>0.571297540612712</v>
      </c>
      <c r="Z31" s="472" t="n">
        <v>0.571297540612712</v>
      </c>
      <c r="AA31" s="474" t="n">
        <v>0.0507544879518089</v>
      </c>
    </row>
    <row r="32" s="475" customFormat="true" ht="12.75" hidden="false" customHeight="true" outlineLevel="0" collapsed="false">
      <c r="A32" s="471" t="s">
        <v>639</v>
      </c>
      <c r="B32" s="263" t="n">
        <v>733</v>
      </c>
      <c r="C32" s="472" t="n">
        <v>0.0989648170731707</v>
      </c>
      <c r="D32" s="472" t="n">
        <v>0.116436704487558</v>
      </c>
      <c r="E32" s="472" t="n">
        <v>0.110408233209396</v>
      </c>
      <c r="F32" s="472" t="n">
        <v>0.168858041830952</v>
      </c>
      <c r="G32" s="473" t="n">
        <v>0.982077320499138</v>
      </c>
      <c r="H32" s="473" t="n">
        <v>1.01273062606517</v>
      </c>
      <c r="I32" s="472" t="n">
        <v>0.0965167342474691</v>
      </c>
      <c r="J32" s="472" t="n">
        <v>0.475423428302511</v>
      </c>
      <c r="K32" s="472" t="n">
        <v>0.060013</v>
      </c>
      <c r="L32" s="472" t="n">
        <v>0.112949635637801</v>
      </c>
      <c r="M32" s="472" t="n">
        <v>0.0906739588919265</v>
      </c>
      <c r="N32" s="473" t="n">
        <v>1.20318600370276</v>
      </c>
      <c r="O32" s="473" t="n">
        <v>4.08600808424644</v>
      </c>
      <c r="P32" s="473" t="n">
        <v>18.6510960197796</v>
      </c>
      <c r="Q32" s="473" t="n">
        <v>32.7964640098327</v>
      </c>
      <c r="R32" s="473" t="n">
        <v>3.87975639286239</v>
      </c>
      <c r="S32" s="473" t="n">
        <v>120.394765786733</v>
      </c>
      <c r="T32" s="472" t="n">
        <v>0.0265828194695975</v>
      </c>
      <c r="U32" s="472" t="n">
        <v>0.0401800293114316</v>
      </c>
      <c r="V32" s="472" t="n">
        <v>-0.00351896915787122</v>
      </c>
      <c r="W32" s="472" t="n">
        <v>-0.0509905550676534</v>
      </c>
      <c r="X32" s="472" t="n">
        <v>0.0567662903371895</v>
      </c>
      <c r="Y32" s="472" t="n">
        <v>0.497281112704122</v>
      </c>
      <c r="Z32" s="472" t="n">
        <v>0.497281112704122</v>
      </c>
      <c r="AA32" s="474" t="n">
        <v>0.1165323567036</v>
      </c>
    </row>
    <row r="33" s="475" customFormat="true" ht="12.75" hidden="false" customHeight="true" outlineLevel="0" collapsed="false">
      <c r="A33" s="471" t="s">
        <v>1108</v>
      </c>
      <c r="B33" s="263" t="n">
        <v>397</v>
      </c>
      <c r="C33" s="472" t="n">
        <v>0.12319487394958</v>
      </c>
      <c r="D33" s="472" t="n">
        <v>0.112732930985851</v>
      </c>
      <c r="E33" s="472" t="n">
        <v>0.104107262845173</v>
      </c>
      <c r="F33" s="472" t="n">
        <v>0.218857991266837</v>
      </c>
      <c r="G33" s="473" t="n">
        <v>0.90799725633515</v>
      </c>
      <c r="H33" s="473" t="n">
        <v>1.10181489675495</v>
      </c>
      <c r="I33" s="472" t="n">
        <v>0.101532178687304</v>
      </c>
      <c r="J33" s="472" t="n">
        <v>0.439779447509976</v>
      </c>
      <c r="K33" s="472" t="n">
        <v>0.057772</v>
      </c>
      <c r="L33" s="472" t="n">
        <v>0.263074106672734</v>
      </c>
      <c r="M33" s="472" t="n">
        <v>0.0861641956746521</v>
      </c>
      <c r="N33" s="473" t="n">
        <v>1.03875018576499</v>
      </c>
      <c r="O33" s="473" t="n">
        <v>2.93958593544615</v>
      </c>
      <c r="P33" s="473" t="n">
        <v>14.7359419566369</v>
      </c>
      <c r="Q33" s="473" t="n">
        <v>24.9558564517353</v>
      </c>
      <c r="R33" s="473" t="n">
        <v>3.23066626213852</v>
      </c>
      <c r="S33" s="473" t="n">
        <v>63.5404707194701</v>
      </c>
      <c r="T33" s="472" t="n">
        <v>0.155160315045239</v>
      </c>
      <c r="U33" s="472" t="n">
        <v>0.0818381451719792</v>
      </c>
      <c r="V33" s="472" t="n">
        <v>0.0824589342181899</v>
      </c>
      <c r="W33" s="472" t="n">
        <v>1.16449590025317</v>
      </c>
      <c r="X33" s="472" t="n">
        <v>0.101535998707466</v>
      </c>
      <c r="Y33" s="472" t="n">
        <v>0.489919024665246</v>
      </c>
      <c r="Z33" s="472" t="n">
        <v>0.489919024665246</v>
      </c>
      <c r="AA33" s="474" t="n">
        <v>0.119525998538485</v>
      </c>
    </row>
    <row r="34" s="475" customFormat="true" ht="12.75" hidden="false" customHeight="true" outlineLevel="0" collapsed="false">
      <c r="A34" s="471" t="s">
        <v>1109</v>
      </c>
      <c r="B34" s="263" t="n">
        <v>428</v>
      </c>
      <c r="C34" s="472" t="n">
        <v>0.14780628125</v>
      </c>
      <c r="D34" s="472" t="n">
        <v>0.0639094425485889</v>
      </c>
      <c r="E34" s="472" t="n">
        <v>0.0677888508564983</v>
      </c>
      <c r="F34" s="472" t="n">
        <v>0.22874728505036</v>
      </c>
      <c r="G34" s="473" t="n">
        <v>0.49267149564041</v>
      </c>
      <c r="H34" s="473" t="n">
        <v>0.669898344571882</v>
      </c>
      <c r="I34" s="472" t="n">
        <v>0.077215276799397</v>
      </c>
      <c r="J34" s="472" t="n">
        <v>0.361668080630198</v>
      </c>
      <c r="K34" s="472" t="n">
        <v>0.057772</v>
      </c>
      <c r="L34" s="472" t="n">
        <v>0.371230001655626</v>
      </c>
      <c r="M34" s="472" t="n">
        <v>0.0645563214183279</v>
      </c>
      <c r="N34" s="473" t="n">
        <v>1.29776218766209</v>
      </c>
      <c r="O34" s="473" t="n">
        <v>1.22078861958216</v>
      </c>
      <c r="P34" s="473" t="n">
        <v>12.9082823339942</v>
      </c>
      <c r="Q34" s="473" t="n">
        <v>18.5786266346482</v>
      </c>
      <c r="R34" s="473" t="n">
        <v>1.69664013467685</v>
      </c>
      <c r="S34" s="473" t="n">
        <v>48.0752400490879</v>
      </c>
      <c r="T34" s="472" t="n">
        <v>0.185368222432632</v>
      </c>
      <c r="U34" s="472" t="n">
        <v>0.0407500884623112</v>
      </c>
      <c r="V34" s="472" t="n">
        <v>0.0273666455994934</v>
      </c>
      <c r="W34" s="472" t="n">
        <v>0.406807007546701</v>
      </c>
      <c r="X34" s="472" t="n">
        <v>0.0983382300730329</v>
      </c>
      <c r="Y34" s="472" t="n">
        <v>0.444720779029448</v>
      </c>
      <c r="Z34" s="472" t="n">
        <v>0.444720779029448</v>
      </c>
      <c r="AA34" s="474" t="n">
        <v>0.0649527754941541</v>
      </c>
    </row>
    <row r="35" s="475" customFormat="true" ht="12.75" hidden="false" customHeight="true" outlineLevel="0" collapsed="false">
      <c r="A35" s="471" t="s">
        <v>1110</v>
      </c>
      <c r="B35" s="263" t="n">
        <v>1138</v>
      </c>
      <c r="C35" s="472" t="n">
        <v>0.170245853658537</v>
      </c>
      <c r="D35" s="472" t="n">
        <v>0.141255856471088</v>
      </c>
      <c r="E35" s="472" t="s">
        <v>1093</v>
      </c>
      <c r="F35" s="472" t="n">
        <v>0.174049983372756</v>
      </c>
      <c r="G35" s="473" t="n">
        <v>0.29511483099161</v>
      </c>
      <c r="H35" s="473" t="n">
        <v>0.823487951269896</v>
      </c>
      <c r="I35" s="472" t="n">
        <v>0.0858623716564952</v>
      </c>
      <c r="J35" s="472" t="n">
        <v>0.413444692474912</v>
      </c>
      <c r="K35" s="472" t="n">
        <v>0.057772</v>
      </c>
      <c r="L35" s="472" t="n">
        <v>0.725888071505976</v>
      </c>
      <c r="M35" s="472" t="n">
        <v>0.0548327413091469</v>
      </c>
      <c r="N35" s="473" t="n">
        <v>0.0937082973374389</v>
      </c>
      <c r="O35" s="473" t="n">
        <v>13.7154564979593</v>
      </c>
      <c r="P35" s="473" t="n">
        <v>43.4214092800537</v>
      </c>
      <c r="Q35" s="473" t="n">
        <v>52.9149409569078</v>
      </c>
      <c r="R35" s="473" t="n">
        <v>2.37834530237683</v>
      </c>
      <c r="S35" s="473" t="n">
        <v>36.7796959861778</v>
      </c>
      <c r="T35" s="472" t="s">
        <v>1093</v>
      </c>
      <c r="U35" s="472" t="n">
        <v>0.0377143139411819</v>
      </c>
      <c r="V35" s="472" t="n">
        <v>0.0162978132184397</v>
      </c>
      <c r="W35" s="472" t="n">
        <v>0.17590846351864</v>
      </c>
      <c r="X35" s="472" t="n">
        <v>0.188254675270222</v>
      </c>
      <c r="Y35" s="472" t="n">
        <v>0.255992962917768</v>
      </c>
      <c r="Z35" s="472" t="n">
        <v>0.255992962917768</v>
      </c>
      <c r="AA35" s="474" t="n">
        <v>0.142886225713768</v>
      </c>
    </row>
    <row r="36" s="475" customFormat="true" ht="12.75" hidden="false" customHeight="true" outlineLevel="0" collapsed="false">
      <c r="A36" s="471" t="s">
        <v>642</v>
      </c>
      <c r="B36" s="263" t="n">
        <v>1450</v>
      </c>
      <c r="C36" s="472" t="n">
        <v>0.0965184565619223</v>
      </c>
      <c r="D36" s="472" t="n">
        <v>0.0853582483932291</v>
      </c>
      <c r="E36" s="472" t="n">
        <v>0.119735100774203</v>
      </c>
      <c r="F36" s="472" t="n">
        <v>0.225173132654739</v>
      </c>
      <c r="G36" s="473" t="n">
        <v>0.560225346226425</v>
      </c>
      <c r="H36" s="473" t="n">
        <v>0.673724451459606</v>
      </c>
      <c r="I36" s="472" t="n">
        <v>0.0774306866171758</v>
      </c>
      <c r="J36" s="472" t="n">
        <v>0.339048009189439</v>
      </c>
      <c r="K36" s="472" t="n">
        <v>0.057772</v>
      </c>
      <c r="L36" s="472" t="n">
        <v>0.270619205293325</v>
      </c>
      <c r="M36" s="472" t="n">
        <v>0.0681442686985793</v>
      </c>
      <c r="N36" s="473" t="n">
        <v>1.70853767103189</v>
      </c>
      <c r="O36" s="473" t="n">
        <v>1.3434507919661</v>
      </c>
      <c r="P36" s="473" t="n">
        <v>11.0720759595625</v>
      </c>
      <c r="Q36" s="473" t="n">
        <v>15.460106212089</v>
      </c>
      <c r="R36" s="473" t="n">
        <v>2.19025725577819</v>
      </c>
      <c r="S36" s="473" t="n">
        <v>39.7672277122175</v>
      </c>
      <c r="T36" s="472" t="n">
        <v>0.105700158980081</v>
      </c>
      <c r="U36" s="472" t="n">
        <v>0.0410107411511266</v>
      </c>
      <c r="V36" s="472" t="n">
        <v>0.020243842028248</v>
      </c>
      <c r="W36" s="472" t="n">
        <v>0.377505918194898</v>
      </c>
      <c r="X36" s="472" t="n">
        <v>0.105431720637886</v>
      </c>
      <c r="Y36" s="472" t="n">
        <v>0.733261130923758</v>
      </c>
      <c r="Z36" s="472" t="n">
        <v>0.733261130923758</v>
      </c>
      <c r="AA36" s="474" t="n">
        <v>0.0859703182976116</v>
      </c>
    </row>
    <row r="37" s="475" customFormat="true" ht="12.75" hidden="false" customHeight="true" outlineLevel="0" collapsed="false">
      <c r="A37" s="471" t="s">
        <v>643</v>
      </c>
      <c r="B37" s="263" t="n">
        <v>183</v>
      </c>
      <c r="C37" s="472" t="n">
        <v>0.175662230769231</v>
      </c>
      <c r="D37" s="472" t="n">
        <v>0.0254197022762173</v>
      </c>
      <c r="E37" s="472" t="n">
        <v>0.106749876189139</v>
      </c>
      <c r="F37" s="472" t="n">
        <v>0.241361106892202</v>
      </c>
      <c r="G37" s="473" t="n">
        <v>0.498877421978958</v>
      </c>
      <c r="H37" s="473" t="n">
        <v>0.68481758765958</v>
      </c>
      <c r="I37" s="472" t="n">
        <v>0.0780552301852344</v>
      </c>
      <c r="J37" s="472" t="n">
        <v>0.359906696012678</v>
      </c>
      <c r="K37" s="472" t="n">
        <v>0.057772</v>
      </c>
      <c r="L37" s="472" t="n">
        <v>0.368062552157704</v>
      </c>
      <c r="M37" s="472" t="n">
        <v>0.0651951295503171</v>
      </c>
      <c r="N37" s="473" t="n">
        <v>5.17033565647995</v>
      </c>
      <c r="O37" s="473" t="n">
        <v>0.40639245191853</v>
      </c>
      <c r="P37" s="473" t="n">
        <v>10.4309218141872</v>
      </c>
      <c r="Q37" s="473" t="n">
        <v>16.010708077169</v>
      </c>
      <c r="R37" s="473" t="n">
        <v>2.48762171064511</v>
      </c>
      <c r="S37" s="473" t="n">
        <v>38.0045891190173</v>
      </c>
      <c r="T37" s="472" t="n">
        <v>0.0675984060200431</v>
      </c>
      <c r="U37" s="472" t="n">
        <v>0.0113023190466046</v>
      </c>
      <c r="V37" s="472" t="n">
        <v>0.0107361749096357</v>
      </c>
      <c r="W37" s="472" t="n">
        <v>1.04893931858203</v>
      </c>
      <c r="X37" s="472" t="n">
        <v>0.0973940536978487</v>
      </c>
      <c r="Y37" s="472" t="n">
        <v>0.528315969448499</v>
      </c>
      <c r="Z37" s="472" t="n">
        <v>0.528315969448499</v>
      </c>
      <c r="AA37" s="474" t="n">
        <v>0.0250790073079863</v>
      </c>
    </row>
    <row r="38" s="475" customFormat="true" ht="12.75" hidden="false" customHeight="true" outlineLevel="0" collapsed="false">
      <c r="A38" s="471" t="s">
        <v>1111</v>
      </c>
      <c r="B38" s="263" t="n">
        <v>383</v>
      </c>
      <c r="C38" s="472" t="n">
        <v>0.0582656551724138</v>
      </c>
      <c r="D38" s="472" t="n">
        <v>0.076458433925367</v>
      </c>
      <c r="E38" s="472" t="n">
        <v>0.126078498847135</v>
      </c>
      <c r="F38" s="472" t="n">
        <v>0.176328483978939</v>
      </c>
      <c r="G38" s="473" t="n">
        <v>0.938384427028729</v>
      </c>
      <c r="H38" s="473" t="n">
        <v>0.967509667065973</v>
      </c>
      <c r="I38" s="472" t="n">
        <v>0.0939707942558143</v>
      </c>
      <c r="J38" s="472" t="n">
        <v>0.373119610827547</v>
      </c>
      <c r="K38" s="472" t="n">
        <v>0.057772</v>
      </c>
      <c r="L38" s="472" t="n">
        <v>0.204629351140749</v>
      </c>
      <c r="M38" s="472" t="n">
        <v>0.0835642559232095</v>
      </c>
      <c r="N38" s="473" t="n">
        <v>2.27300234984016</v>
      </c>
      <c r="O38" s="473" t="n">
        <v>1.1591419602561</v>
      </c>
      <c r="P38" s="473" t="n">
        <v>10.6264019573579</v>
      </c>
      <c r="Q38" s="473" t="n">
        <v>14.6616454024544</v>
      </c>
      <c r="R38" s="473" t="n">
        <v>2.14888907213616</v>
      </c>
      <c r="S38" s="473" t="n">
        <v>46.6081602128313</v>
      </c>
      <c r="T38" s="472" t="n">
        <v>0.0601042732229511</v>
      </c>
      <c r="U38" s="472" t="n">
        <v>0.0283344100436264</v>
      </c>
      <c r="V38" s="472" t="n">
        <v>0.0227402318520812</v>
      </c>
      <c r="W38" s="472" t="n">
        <v>0.327214252179602</v>
      </c>
      <c r="X38" s="472" t="n">
        <v>0.124947171027375</v>
      </c>
      <c r="Y38" s="472" t="n">
        <v>0.674680692716655</v>
      </c>
      <c r="Z38" s="472" t="n">
        <v>0.674680692716655</v>
      </c>
      <c r="AA38" s="474" t="n">
        <v>0.0777638042949015</v>
      </c>
    </row>
    <row r="39" s="475" customFormat="true" ht="12.75" hidden="false" customHeight="true" outlineLevel="0" collapsed="false">
      <c r="A39" s="471" t="s">
        <v>1112</v>
      </c>
      <c r="B39" s="263" t="n">
        <v>258</v>
      </c>
      <c r="C39" s="472" t="n">
        <v>0.154657073170732</v>
      </c>
      <c r="D39" s="472" t="n">
        <v>0.277208815942724</v>
      </c>
      <c r="E39" s="472" t="n">
        <v>0.0548972040319626</v>
      </c>
      <c r="F39" s="472" t="n">
        <v>0.16816570614984</v>
      </c>
      <c r="G39" s="473" t="n">
        <v>0.566800213428167</v>
      </c>
      <c r="H39" s="473" t="n">
        <v>0.836652834315582</v>
      </c>
      <c r="I39" s="472" t="n">
        <v>0.0866035545719673</v>
      </c>
      <c r="J39" s="472" t="n">
        <v>0.390256854514356</v>
      </c>
      <c r="K39" s="472" t="n">
        <v>0.057772</v>
      </c>
      <c r="L39" s="472" t="n">
        <v>0.41667017441973</v>
      </c>
      <c r="M39" s="472" t="n">
        <v>0.0684832724540582</v>
      </c>
      <c r="N39" s="473" t="n">
        <v>0.223940116405164</v>
      </c>
      <c r="O39" s="473" t="n">
        <v>7.38457047119659</v>
      </c>
      <c r="P39" s="473" t="n">
        <v>14.174838356803</v>
      </c>
      <c r="Q39" s="473" t="n">
        <v>23.7652942954255</v>
      </c>
      <c r="R39" s="473" t="n">
        <v>1.8561252302849</v>
      </c>
      <c r="S39" s="473" t="n">
        <v>72.0005708956159</v>
      </c>
      <c r="T39" s="472" t="n">
        <v>0.102929135863817</v>
      </c>
      <c r="U39" s="472" t="n">
        <v>0.578515821339527</v>
      </c>
      <c r="V39" s="472" t="n">
        <v>0.436829126485256</v>
      </c>
      <c r="W39" s="472" t="n">
        <v>2.10952599868099</v>
      </c>
      <c r="X39" s="472" t="n">
        <v>0.0557709775383633</v>
      </c>
      <c r="Y39" s="472" t="n">
        <v>1.09415929103062</v>
      </c>
      <c r="Z39" s="472" t="n">
        <v>1.09415929103062</v>
      </c>
      <c r="AA39" s="474" t="n">
        <v>0.276358166436652</v>
      </c>
    </row>
    <row r="40" s="475" customFormat="true" ht="12.75" hidden="false" customHeight="true" outlineLevel="0" collapsed="false">
      <c r="A40" s="471" t="s">
        <v>1113</v>
      </c>
      <c r="B40" s="263" t="n">
        <v>842</v>
      </c>
      <c r="C40" s="472" t="n">
        <v>0.148720418181818</v>
      </c>
      <c r="D40" s="472" t="n">
        <v>0.142749020045866</v>
      </c>
      <c r="E40" s="472" t="n">
        <v>0.13700397239661</v>
      </c>
      <c r="F40" s="472" t="n">
        <v>0.176081596857146</v>
      </c>
      <c r="G40" s="473" t="n">
        <v>1.11651029887852</v>
      </c>
      <c r="H40" s="473" t="n">
        <v>1.18195393003005</v>
      </c>
      <c r="I40" s="472" t="n">
        <v>0.106044006260692</v>
      </c>
      <c r="J40" s="472" t="n">
        <v>0.483901684273921</v>
      </c>
      <c r="K40" s="472" t="n">
        <v>0.060013</v>
      </c>
      <c r="L40" s="472" t="n">
        <v>0.121739420059254</v>
      </c>
      <c r="M40" s="472" t="n">
        <v>0.0985866992928483</v>
      </c>
      <c r="N40" s="473" t="n">
        <v>1.29793712995898</v>
      </c>
      <c r="O40" s="473" t="n">
        <v>4.17218941620984</v>
      </c>
      <c r="P40" s="473" t="n">
        <v>18.5492046066945</v>
      </c>
      <c r="Q40" s="473" t="n">
        <v>28.0976141803939</v>
      </c>
      <c r="R40" s="473" t="n">
        <v>3.53095706727559</v>
      </c>
      <c r="S40" s="473" t="n">
        <v>86.0126209781384</v>
      </c>
      <c r="T40" s="472" t="n">
        <v>0.267485566771272</v>
      </c>
      <c r="U40" s="472" t="n">
        <v>0.0484205645224747</v>
      </c>
      <c r="V40" s="472" t="n">
        <v>0.040250488442499</v>
      </c>
      <c r="W40" s="472" t="n">
        <v>0.491411923312567</v>
      </c>
      <c r="X40" s="472" t="n">
        <v>0.0906332940242265</v>
      </c>
      <c r="Y40" s="472" t="n">
        <v>0.476339562683171</v>
      </c>
      <c r="Z40" s="472" t="n">
        <v>0.476339562683171</v>
      </c>
      <c r="AA40" s="474" t="n">
        <v>0.147842967271275</v>
      </c>
    </row>
    <row r="41" s="475" customFormat="true" ht="12.75" hidden="false" customHeight="true" outlineLevel="0" collapsed="false">
      <c r="A41" s="471" t="s">
        <v>1114</v>
      </c>
      <c r="B41" s="263" t="n">
        <v>478</v>
      </c>
      <c r="C41" s="472" t="n">
        <v>0.0990160135135136</v>
      </c>
      <c r="D41" s="472" t="n">
        <v>0.0310327616256259</v>
      </c>
      <c r="E41" s="472" t="n">
        <v>0.20715330775726</v>
      </c>
      <c r="F41" s="472" t="n">
        <v>0.237298664750319</v>
      </c>
      <c r="G41" s="473" t="n">
        <v>0.778671573065032</v>
      </c>
      <c r="H41" s="473" t="n">
        <v>0.916558867242304</v>
      </c>
      <c r="I41" s="472" t="n">
        <v>0.0911022642257417</v>
      </c>
      <c r="J41" s="472" t="n">
        <v>0.42402591106783</v>
      </c>
      <c r="K41" s="472" t="n">
        <v>0.057772</v>
      </c>
      <c r="L41" s="472" t="n">
        <v>0.276024602958218</v>
      </c>
      <c r="M41" s="472" t="n">
        <v>0.0778566659103735</v>
      </c>
      <c r="N41" s="473" t="n">
        <v>8.01749031695431</v>
      </c>
      <c r="O41" s="473" t="n">
        <v>0.490230757241849</v>
      </c>
      <c r="P41" s="473" t="n">
        <v>11.2874965492144</v>
      </c>
      <c r="Q41" s="473" t="n">
        <v>15.3067753063802</v>
      </c>
      <c r="R41" s="473" t="n">
        <v>2.30591570565494</v>
      </c>
      <c r="S41" s="473" t="n">
        <v>96.3930801221827</v>
      </c>
      <c r="T41" s="472" t="n">
        <v>-0.0254561228479127</v>
      </c>
      <c r="U41" s="472" t="n">
        <v>0.00698744586761307</v>
      </c>
      <c r="V41" s="472" t="n">
        <v>0.00794903554924831</v>
      </c>
      <c r="W41" s="472" t="n">
        <v>0.51203696579652</v>
      </c>
      <c r="X41" s="472" t="n">
        <v>0.0849160506205705</v>
      </c>
      <c r="Y41" s="472" t="n">
        <v>0.538847728322184</v>
      </c>
      <c r="Z41" s="472" t="n">
        <v>0.538847728322184</v>
      </c>
      <c r="AA41" s="474" t="n">
        <v>0.0311397570576071</v>
      </c>
    </row>
    <row r="42" s="475" customFormat="true" ht="12.75" hidden="false" customHeight="true" outlineLevel="0" collapsed="false">
      <c r="A42" s="471" t="s">
        <v>1115</v>
      </c>
      <c r="B42" s="263" t="n">
        <v>430</v>
      </c>
      <c r="C42" s="472" t="n">
        <v>0.129835525291829</v>
      </c>
      <c r="D42" s="472" t="n">
        <v>0.147878562546209</v>
      </c>
      <c r="E42" s="472" t="n">
        <v>0.12540078363728</v>
      </c>
      <c r="F42" s="472" t="n">
        <v>0.169746733393435</v>
      </c>
      <c r="G42" s="473" t="n">
        <v>1.20724943988218</v>
      </c>
      <c r="H42" s="473" t="n">
        <v>1.28992021299785</v>
      </c>
      <c r="I42" s="472" t="n">
        <v>0.112122507991779</v>
      </c>
      <c r="J42" s="472" t="n">
        <v>0.543531157036696</v>
      </c>
      <c r="K42" s="472" t="n">
        <v>0.060013</v>
      </c>
      <c r="L42" s="472" t="n">
        <v>0.122487103719561</v>
      </c>
      <c r="M42" s="472" t="n">
        <v>0.103874862614079</v>
      </c>
      <c r="N42" s="473" t="n">
        <v>1.08601783444209</v>
      </c>
      <c r="O42" s="473" t="n">
        <v>5.32243952148219</v>
      </c>
      <c r="P42" s="473" t="n">
        <v>20.9569936206297</v>
      </c>
      <c r="Q42" s="473" t="n">
        <v>33.8582611878364</v>
      </c>
      <c r="R42" s="473" t="n">
        <v>3.86700227595568</v>
      </c>
      <c r="S42" s="473" t="n">
        <v>321.798347901503</v>
      </c>
      <c r="T42" s="472" t="n">
        <v>0.243638862564442</v>
      </c>
      <c r="U42" s="472" t="n">
        <v>0.0670810322624049</v>
      </c>
      <c r="V42" s="472" t="n">
        <v>0.0364921868219531</v>
      </c>
      <c r="W42" s="472" t="n">
        <v>0.384258257721661</v>
      </c>
      <c r="X42" s="472" t="n">
        <v>0.0793445083253784</v>
      </c>
      <c r="Y42" s="472" t="n">
        <v>0.191909095993517</v>
      </c>
      <c r="Z42" s="472" t="n">
        <v>0.191909095993517</v>
      </c>
      <c r="AA42" s="474" t="n">
        <v>0.14950916247338</v>
      </c>
    </row>
    <row r="43" s="475" customFormat="true" ht="12.75" hidden="false" customHeight="true" outlineLevel="0" collapsed="false">
      <c r="A43" s="471" t="s">
        <v>651</v>
      </c>
      <c r="B43" s="263" t="n">
        <v>160</v>
      </c>
      <c r="C43" s="472" t="n">
        <v>0.0717258646616542</v>
      </c>
      <c r="D43" s="472" t="n">
        <v>0.107142928925885</v>
      </c>
      <c r="E43" s="472" t="n">
        <v>0.10363608542706</v>
      </c>
      <c r="F43" s="472" t="n">
        <v>0.24790571139201</v>
      </c>
      <c r="G43" s="473" t="n">
        <v>0.82239960265892</v>
      </c>
      <c r="H43" s="473" t="n">
        <v>0.960230951281192</v>
      </c>
      <c r="I43" s="472" t="n">
        <v>0.0935610025571311</v>
      </c>
      <c r="J43" s="472" t="n">
        <v>0.323740330983018</v>
      </c>
      <c r="K43" s="472" t="n">
        <v>0.057772</v>
      </c>
      <c r="L43" s="472" t="n">
        <v>0.285208071429653</v>
      </c>
      <c r="M43" s="472" t="n">
        <v>0.0791734649331626</v>
      </c>
      <c r="N43" s="473" t="n">
        <v>1.26929855541489</v>
      </c>
      <c r="O43" s="473" t="n">
        <v>1.1420542969779</v>
      </c>
      <c r="P43" s="473" t="n">
        <v>9.42970744946743</v>
      </c>
      <c r="Q43" s="473" t="n">
        <v>11.0726649668994</v>
      </c>
      <c r="R43" s="473" t="n">
        <v>1.36499584240995</v>
      </c>
      <c r="S43" s="473" t="n">
        <v>23.7867073758901</v>
      </c>
      <c r="T43" s="472" t="n">
        <v>0.673309543803917</v>
      </c>
      <c r="U43" s="472" t="n">
        <v>0.0057214845186632</v>
      </c>
      <c r="V43" s="472" t="n">
        <v>0.00571892474503653</v>
      </c>
      <c r="W43" s="472" t="n">
        <v>0.498944741328408</v>
      </c>
      <c r="X43" s="472" t="n">
        <v>0.114651505728344</v>
      </c>
      <c r="Y43" s="472" t="n">
        <v>0.243973001490142</v>
      </c>
      <c r="Z43" s="472" t="n">
        <v>0.243973001490142</v>
      </c>
      <c r="AA43" s="474" t="n">
        <v>0.101909923574842</v>
      </c>
    </row>
    <row r="44" s="475" customFormat="true" ht="12.75" hidden="false" customHeight="true" outlineLevel="0" collapsed="false">
      <c r="A44" s="471" t="s">
        <v>1116</v>
      </c>
      <c r="B44" s="263" t="n">
        <v>249</v>
      </c>
      <c r="C44" s="472" t="n">
        <v>0.142572738095238</v>
      </c>
      <c r="D44" s="472" t="n">
        <v>0.122679996951233</v>
      </c>
      <c r="E44" s="472" t="n">
        <v>0.132098026357595</v>
      </c>
      <c r="F44" s="472" t="n">
        <v>0.204447418822786</v>
      </c>
      <c r="G44" s="473" t="n">
        <v>0.583851485740033</v>
      </c>
      <c r="H44" s="473" t="n">
        <v>0.760179925312259</v>
      </c>
      <c r="I44" s="472" t="n">
        <v>0.0822981297950802</v>
      </c>
      <c r="J44" s="472" t="n">
        <v>0.360006229351584</v>
      </c>
      <c r="K44" s="472" t="n">
        <v>0.057772</v>
      </c>
      <c r="L44" s="472" t="n">
        <v>0.31779434713055</v>
      </c>
      <c r="M44" s="472" t="n">
        <v>0.069846030058024</v>
      </c>
      <c r="N44" s="473" t="n">
        <v>1.36360376102938</v>
      </c>
      <c r="O44" s="473" t="n">
        <v>2.13397603628438</v>
      </c>
      <c r="P44" s="473" t="n">
        <v>11.8877094871041</v>
      </c>
      <c r="Q44" s="473" t="n">
        <v>17.7983209302075</v>
      </c>
      <c r="R44" s="473" t="n">
        <v>3.5496561305909</v>
      </c>
      <c r="S44" s="473" t="n">
        <v>46.0551864358089</v>
      </c>
      <c r="T44" s="472" t="n">
        <v>0.056747386428043</v>
      </c>
      <c r="U44" s="472" t="n">
        <v>0.0679217199593452</v>
      </c>
      <c r="V44" s="472" t="n">
        <v>0.0327021567828133</v>
      </c>
      <c r="W44" s="472" t="n">
        <v>0.363621059231501</v>
      </c>
      <c r="X44" s="472" t="n">
        <v>0.176430067395812</v>
      </c>
      <c r="Y44" s="472" t="n">
        <v>0.271178537068054</v>
      </c>
      <c r="Z44" s="472" t="n">
        <v>0.271178537068054</v>
      </c>
      <c r="AA44" s="474" t="n">
        <v>0.119113687111784</v>
      </c>
    </row>
    <row r="45" s="475" customFormat="true" ht="12.75" hidden="false" customHeight="true" outlineLevel="0" collapsed="false">
      <c r="A45" s="471" t="s">
        <v>652</v>
      </c>
      <c r="B45" s="263" t="n">
        <v>656</v>
      </c>
      <c r="C45" s="472" t="n">
        <v>0.183808443579767</v>
      </c>
      <c r="D45" s="472" t="n">
        <v>0.166641097765861</v>
      </c>
      <c r="E45" s="472" t="n">
        <v>0.118046027448513</v>
      </c>
      <c r="F45" s="472" t="n">
        <v>0.189939688400236</v>
      </c>
      <c r="G45" s="473" t="n">
        <v>0.656224448727344</v>
      </c>
      <c r="H45" s="473" t="n">
        <v>0.798430238126723</v>
      </c>
      <c r="I45" s="472" t="n">
        <v>0.0844516224065345</v>
      </c>
      <c r="J45" s="472" t="n">
        <v>0.392739028265711</v>
      </c>
      <c r="K45" s="472" t="n">
        <v>0.057772</v>
      </c>
      <c r="L45" s="472" t="n">
        <v>0.286937653437708</v>
      </c>
      <c r="M45" s="472" t="n">
        <v>0.0725906588701753</v>
      </c>
      <c r="N45" s="473" t="n">
        <v>0.941731418489962</v>
      </c>
      <c r="O45" s="473" t="n">
        <v>3.44870412039199</v>
      </c>
      <c r="P45" s="473" t="n">
        <v>13.8681819037008</v>
      </c>
      <c r="Q45" s="473" t="n">
        <v>22.1225632379738</v>
      </c>
      <c r="R45" s="473" t="n">
        <v>4.53744016612134</v>
      </c>
      <c r="S45" s="473" t="n">
        <v>74.5011592385317</v>
      </c>
      <c r="T45" s="472" t="n">
        <v>-0.0370256429953563</v>
      </c>
      <c r="U45" s="472" t="n">
        <v>0.0706590223450934</v>
      </c>
      <c r="V45" s="472" t="n">
        <v>0.0194200927591411</v>
      </c>
      <c r="W45" s="472" t="n">
        <v>0.224434003253757</v>
      </c>
      <c r="X45" s="472" t="n">
        <v>0.189530490723617</v>
      </c>
      <c r="Y45" s="472" t="n">
        <v>0.367020240199775</v>
      </c>
      <c r="Z45" s="472" t="n">
        <v>0.367020240199775</v>
      </c>
      <c r="AA45" s="474" t="n">
        <v>0.155974113530377</v>
      </c>
    </row>
    <row r="46" s="475" customFormat="true" ht="12.75" hidden="false" customHeight="true" outlineLevel="0" collapsed="false">
      <c r="A46" s="471" t="s">
        <v>653</v>
      </c>
      <c r="B46" s="263" t="n">
        <v>588</v>
      </c>
      <c r="C46" s="472" t="n">
        <v>0.0821528092783505</v>
      </c>
      <c r="D46" s="472" t="n">
        <v>0.161718881621258</v>
      </c>
      <c r="E46" s="472" t="n">
        <v>0.230806761380179</v>
      </c>
      <c r="F46" s="472" t="n">
        <v>0.235697243155259</v>
      </c>
      <c r="G46" s="473" t="n">
        <v>0.774144424006051</v>
      </c>
      <c r="H46" s="473" t="n">
        <v>0.830105897840148</v>
      </c>
      <c r="I46" s="472" t="n">
        <v>0.0862349620484003</v>
      </c>
      <c r="J46" s="472" t="n">
        <v>0.40417662949602</v>
      </c>
      <c r="K46" s="472" t="n">
        <v>0.057772</v>
      </c>
      <c r="L46" s="472" t="n">
        <v>0.13550275870525</v>
      </c>
      <c r="M46" s="472" t="n">
        <v>0.0803921212440484</v>
      </c>
      <c r="N46" s="473" t="n">
        <v>1.79367105136321</v>
      </c>
      <c r="O46" s="473" t="n">
        <v>2.9023577342007</v>
      </c>
      <c r="P46" s="473" t="n">
        <v>14.5554848902328</v>
      </c>
      <c r="Q46" s="473" t="n">
        <v>17.7386362261955</v>
      </c>
      <c r="R46" s="473" t="n">
        <v>4.62573084710398</v>
      </c>
      <c r="S46" s="473" t="n">
        <v>68.8476707846379</v>
      </c>
      <c r="T46" s="472" t="n">
        <v>0.0592611168808088</v>
      </c>
      <c r="U46" s="472" t="n">
        <v>0.0385263884695889</v>
      </c>
      <c r="V46" s="472" t="n">
        <v>0.0219176887536799</v>
      </c>
      <c r="W46" s="472" t="n">
        <v>0.236984937122816</v>
      </c>
      <c r="X46" s="472" t="n">
        <v>0.180148732244119</v>
      </c>
      <c r="Y46" s="472" t="n">
        <v>0.724186888656772</v>
      </c>
      <c r="Z46" s="472" t="n">
        <v>0.724186888656772</v>
      </c>
      <c r="AA46" s="474" t="n">
        <v>0.163367520862017</v>
      </c>
    </row>
    <row r="47" s="475" customFormat="true" ht="12.75" hidden="false" customHeight="true" outlineLevel="0" collapsed="false">
      <c r="A47" s="471" t="s">
        <v>1117</v>
      </c>
      <c r="B47" s="263" t="n">
        <v>86</v>
      </c>
      <c r="C47" s="472" t="n">
        <v>0.105159322033898</v>
      </c>
      <c r="D47" s="472" t="n">
        <v>0.117832753790239</v>
      </c>
      <c r="E47" s="472" t="n">
        <v>0.228134840052976</v>
      </c>
      <c r="F47" s="472" t="n">
        <v>0.256891261771747</v>
      </c>
      <c r="G47" s="473" t="n">
        <v>0.873735946265916</v>
      </c>
      <c r="H47" s="473" t="n">
        <v>1.02372059331953</v>
      </c>
      <c r="I47" s="472" t="n">
        <v>0.0971354694038894</v>
      </c>
      <c r="J47" s="472" t="n">
        <v>0.380027867374682</v>
      </c>
      <c r="K47" s="472" t="n">
        <v>0.057772</v>
      </c>
      <c r="L47" s="472" t="n">
        <v>0.242311019702493</v>
      </c>
      <c r="M47" s="472" t="n">
        <v>0.08404577340479</v>
      </c>
      <c r="N47" s="473" t="n">
        <v>2.71310888262394</v>
      </c>
      <c r="O47" s="473" t="n">
        <v>1.88271785081681</v>
      </c>
      <c r="P47" s="473" t="n">
        <v>10.7697321540279</v>
      </c>
      <c r="Q47" s="473" t="n">
        <v>15.4502929185686</v>
      </c>
      <c r="R47" s="473" t="n">
        <v>3.28510097868304</v>
      </c>
      <c r="S47" s="473" t="n">
        <v>36.7469854080561</v>
      </c>
      <c r="T47" s="472" t="n">
        <v>0.141229481200247</v>
      </c>
      <c r="U47" s="472" t="n">
        <v>0.0189289766159155</v>
      </c>
      <c r="V47" s="472" t="n">
        <v>-0.0158979421306747</v>
      </c>
      <c r="W47" s="472" t="n">
        <v>-0.162908495396814</v>
      </c>
      <c r="X47" s="472" t="n">
        <v>0.145477657981749</v>
      </c>
      <c r="Y47" s="472" t="n">
        <v>0.374472201264815</v>
      </c>
      <c r="Z47" s="472" t="n">
        <v>0.374472201264815</v>
      </c>
      <c r="AA47" s="474" t="n">
        <v>0.117613191853669</v>
      </c>
    </row>
    <row r="48" s="475" customFormat="true" ht="12.75" hidden="false" customHeight="true" outlineLevel="0" collapsed="false">
      <c r="A48" s="471" t="s">
        <v>1118</v>
      </c>
      <c r="B48" s="263" t="n">
        <v>204</v>
      </c>
      <c r="C48" s="472" t="n">
        <v>0.114013636363636</v>
      </c>
      <c r="D48" s="472" t="n">
        <v>0.154456570906073</v>
      </c>
      <c r="E48" s="472" t="n">
        <v>0.256239766170782</v>
      </c>
      <c r="F48" s="472" t="n">
        <v>0.248667754095352</v>
      </c>
      <c r="G48" s="473" t="n">
        <v>0.473078219600095</v>
      </c>
      <c r="H48" s="473" t="n">
        <v>0.510235581844677</v>
      </c>
      <c r="I48" s="472" t="n">
        <v>0.0682262632578553</v>
      </c>
      <c r="J48" s="472" t="n">
        <v>0.319893861901657</v>
      </c>
      <c r="K48" s="472" t="n">
        <v>0.057772</v>
      </c>
      <c r="L48" s="472" t="n">
        <v>0.231132773758377</v>
      </c>
      <c r="M48" s="472" t="n">
        <v>0.0624222836324341</v>
      </c>
      <c r="N48" s="473" t="n">
        <v>1.95991190372487</v>
      </c>
      <c r="O48" s="473" t="n">
        <v>1.5635385296312</v>
      </c>
      <c r="P48" s="473" t="n">
        <v>9.00225477029325</v>
      </c>
      <c r="Q48" s="473" t="n">
        <v>8.90395484714283</v>
      </c>
      <c r="R48" s="473" t="n">
        <v>2.21857577259118</v>
      </c>
      <c r="S48" s="473" t="n">
        <v>16.3311406421135</v>
      </c>
      <c r="T48" s="472" t="n">
        <v>0.147883379886942</v>
      </c>
      <c r="U48" s="472" t="n">
        <v>0.00735962280242631</v>
      </c>
      <c r="V48" s="472" t="n">
        <v>0.0574944502886501</v>
      </c>
      <c r="W48" s="472" t="n">
        <v>0.407075456002013</v>
      </c>
      <c r="X48" s="472" t="n">
        <v>0.18525727747975</v>
      </c>
      <c r="Y48" s="472" t="n">
        <v>0.413361589138533</v>
      </c>
      <c r="Z48" s="472" t="n">
        <v>0.413361589138533</v>
      </c>
      <c r="AA48" s="474" t="n">
        <v>0.154655754757054</v>
      </c>
    </row>
    <row r="49" s="475" customFormat="true" ht="12.75" hidden="false" customHeight="true" outlineLevel="0" collapsed="false">
      <c r="A49" s="471" t="s">
        <v>656</v>
      </c>
      <c r="B49" s="263" t="n">
        <v>143</v>
      </c>
      <c r="C49" s="472" t="n">
        <v>0.0622431666666667</v>
      </c>
      <c r="D49" s="472" t="n">
        <v>0.172924734354107</v>
      </c>
      <c r="E49" s="472" t="n">
        <v>0.144820085834978</v>
      </c>
      <c r="F49" s="472" t="n">
        <v>0.169107860069371</v>
      </c>
      <c r="G49" s="473" t="n">
        <v>0.794848433717309</v>
      </c>
      <c r="H49" s="473" t="n">
        <v>0.803781339084474</v>
      </c>
      <c r="I49" s="472" t="n">
        <v>0.0847528893904559</v>
      </c>
      <c r="J49" s="472" t="n">
        <v>0.300130188099804</v>
      </c>
      <c r="K49" s="472" t="n">
        <v>0.057772</v>
      </c>
      <c r="L49" s="472" t="n">
        <v>0.42901155283676</v>
      </c>
      <c r="M49" s="472" t="n">
        <v>0.0668898583134254</v>
      </c>
      <c r="N49" s="473" t="n">
        <v>1.0113995296395</v>
      </c>
      <c r="O49" s="473" t="n">
        <v>1.31946120327496</v>
      </c>
      <c r="P49" s="473" t="n">
        <v>7.32719050483297</v>
      </c>
      <c r="Q49" s="473" t="n">
        <v>7.52296296122358</v>
      </c>
      <c r="R49" s="473" t="n">
        <v>1.30811692609762</v>
      </c>
      <c r="S49" s="473" t="n">
        <v>75.3173047069981</v>
      </c>
      <c r="T49" s="472" t="n">
        <v>-1.01804017396309</v>
      </c>
      <c r="U49" s="472" t="n">
        <v>0.00695391946171556</v>
      </c>
      <c r="V49" s="472" t="n">
        <v>0.00570966845746253</v>
      </c>
      <c r="W49" s="472" t="n">
        <v>-0.453215471230468</v>
      </c>
      <c r="X49" s="472" t="n">
        <v>0.141499117224506</v>
      </c>
      <c r="Y49" s="472" t="n">
        <v>0.365532527184441</v>
      </c>
      <c r="Z49" s="472" t="n">
        <v>0.365532527184441</v>
      </c>
      <c r="AA49" s="474" t="n">
        <v>0.173039183717778</v>
      </c>
    </row>
    <row r="50" s="475" customFormat="true" ht="12.75" hidden="false" customHeight="true" outlineLevel="0" collapsed="false">
      <c r="A50" s="471" t="s">
        <v>1119</v>
      </c>
      <c r="B50" s="263" t="n">
        <v>248</v>
      </c>
      <c r="C50" s="472" t="n">
        <v>0.127822125603865</v>
      </c>
      <c r="D50" s="472" t="n">
        <v>0.152643124550992</v>
      </c>
      <c r="E50" s="472" t="n">
        <v>0.180546152442018</v>
      </c>
      <c r="F50" s="472" t="n">
        <v>0.208917172687576</v>
      </c>
      <c r="G50" s="473" t="n">
        <v>0.412371425931206</v>
      </c>
      <c r="H50" s="473" t="n">
        <v>0.431826547963127</v>
      </c>
      <c r="I50" s="472" t="n">
        <v>0.063811834650324</v>
      </c>
      <c r="J50" s="472" t="n">
        <v>0.295360182680447</v>
      </c>
      <c r="K50" s="472" t="n">
        <v>0.054406</v>
      </c>
      <c r="L50" s="472" t="n">
        <v>0.140426451632648</v>
      </c>
      <c r="M50" s="472" t="n">
        <v>0.0605527281302023</v>
      </c>
      <c r="N50" s="473" t="n">
        <v>1.46508599420259</v>
      </c>
      <c r="O50" s="473" t="n">
        <v>1.31748583187308</v>
      </c>
      <c r="P50" s="473" t="n">
        <v>7.81528892357812</v>
      </c>
      <c r="Q50" s="473" t="n">
        <v>8.5778218902519</v>
      </c>
      <c r="R50" s="473" t="n">
        <v>1.67441858903493</v>
      </c>
      <c r="S50" s="473" t="n">
        <v>20.508619436664</v>
      </c>
      <c r="T50" s="472" t="n">
        <v>-0.25821112713536</v>
      </c>
      <c r="U50" s="472" t="n">
        <v>0.00576892371417928</v>
      </c>
      <c r="V50" s="472" t="n">
        <v>-0.00417567969734875</v>
      </c>
      <c r="W50" s="472" t="n">
        <v>-0.0946393552063393</v>
      </c>
      <c r="X50" s="472" t="n">
        <v>0.171527144928677</v>
      </c>
      <c r="Y50" s="472" t="n">
        <v>0.265609477478921</v>
      </c>
      <c r="Z50" s="472" t="n">
        <v>0.265609477478921</v>
      </c>
      <c r="AA50" s="474" t="n">
        <v>0.152851652807922</v>
      </c>
    </row>
    <row r="51" s="475" customFormat="true" ht="12.75" hidden="false" customHeight="true" outlineLevel="0" collapsed="false">
      <c r="A51" s="471" t="s">
        <v>1120</v>
      </c>
      <c r="B51" s="263" t="n">
        <v>1315</v>
      </c>
      <c r="C51" s="472" t="n">
        <v>0.177611070745698</v>
      </c>
      <c r="D51" s="472" t="n">
        <v>0.250503900777164</v>
      </c>
      <c r="E51" s="472" t="n">
        <v>0.0829556650505306</v>
      </c>
      <c r="F51" s="472" t="n">
        <v>0.175517468753621</v>
      </c>
      <c r="G51" s="473" t="n">
        <v>0.565713054104962</v>
      </c>
      <c r="H51" s="473" t="n">
        <v>0.74834020464177</v>
      </c>
      <c r="I51" s="472" t="n">
        <v>0.0816315535213317</v>
      </c>
      <c r="J51" s="472" t="n">
        <v>0.368566767701624</v>
      </c>
      <c r="K51" s="472" t="n">
        <v>0.057772</v>
      </c>
      <c r="L51" s="472" t="n">
        <v>0.376320896285683</v>
      </c>
      <c r="M51" s="472" t="n">
        <v>0.067137061250119</v>
      </c>
      <c r="N51" s="473" t="n">
        <v>0.359451566270357</v>
      </c>
      <c r="O51" s="473" t="n">
        <v>5.44543410788268</v>
      </c>
      <c r="P51" s="473" t="n">
        <v>19.0023088451205</v>
      </c>
      <c r="Q51" s="473" t="n">
        <v>16.9545724387514</v>
      </c>
      <c r="R51" s="473" t="n">
        <v>1.74884329549518</v>
      </c>
      <c r="S51" s="473" t="n">
        <v>53.8522833672008</v>
      </c>
      <c r="T51" s="472" t="s">
        <v>1093</v>
      </c>
      <c r="U51" s="472" t="n">
        <v>0.0465745365580084</v>
      </c>
      <c r="V51" s="472" t="n">
        <v>0.160992990325519</v>
      </c>
      <c r="W51" s="472" t="n">
        <v>0.975471667060007</v>
      </c>
      <c r="X51" s="472" t="n">
        <v>0.12013792010544</v>
      </c>
      <c r="Y51" s="472" t="n">
        <v>0.495039431673859</v>
      </c>
      <c r="Z51" s="472" t="n">
        <v>0.495039431673859</v>
      </c>
      <c r="AA51" s="474" t="n">
        <v>0.24950050254725</v>
      </c>
    </row>
    <row r="52" s="475" customFormat="true" ht="12.75" hidden="false" customHeight="true" outlineLevel="0" collapsed="false">
      <c r="A52" s="471" t="s">
        <v>662</v>
      </c>
      <c r="B52" s="263" t="n">
        <v>1553</v>
      </c>
      <c r="C52" s="472" t="n">
        <v>0.0867889780405405</v>
      </c>
      <c r="D52" s="472" t="n">
        <v>0.103570602039333</v>
      </c>
      <c r="E52" s="472" t="n">
        <v>0.118351200008183</v>
      </c>
      <c r="F52" s="472" t="n">
        <v>0.221630708034554</v>
      </c>
      <c r="G52" s="473" t="n">
        <v>1.32962171610259</v>
      </c>
      <c r="H52" s="473" t="n">
        <v>1.36947375800489</v>
      </c>
      <c r="I52" s="472" t="n">
        <v>0.116601372575675</v>
      </c>
      <c r="J52" s="472" t="n">
        <v>0.403399360958614</v>
      </c>
      <c r="K52" s="472" t="n">
        <v>0.057772</v>
      </c>
      <c r="L52" s="472" t="n">
        <v>0.119374845537911</v>
      </c>
      <c r="M52" s="472" t="n">
        <v>0.107828977280025</v>
      </c>
      <c r="N52" s="473" t="n">
        <v>1.48008128086996</v>
      </c>
      <c r="O52" s="473" t="n">
        <v>2.61374944179941</v>
      </c>
      <c r="P52" s="473" t="n">
        <v>16.8840897964881</v>
      </c>
      <c r="Q52" s="473" t="n">
        <v>23.6060587622099</v>
      </c>
      <c r="R52" s="473" t="n">
        <v>3.37239613502045</v>
      </c>
      <c r="S52" s="473" t="n">
        <v>88.3833435763436</v>
      </c>
      <c r="T52" s="472" t="n">
        <v>0.291224623034947</v>
      </c>
      <c r="U52" s="472" t="n">
        <v>0.0405488496209127</v>
      </c>
      <c r="V52" s="472" t="n">
        <v>0.0337164459578217</v>
      </c>
      <c r="W52" s="472" t="n">
        <v>0.545066577430171</v>
      </c>
      <c r="X52" s="472" t="n">
        <v>0.109008420793261</v>
      </c>
      <c r="Y52" s="472" t="n">
        <v>0.459789183630518</v>
      </c>
      <c r="Z52" s="472" t="n">
        <v>0.459789183630518</v>
      </c>
      <c r="AA52" s="474" t="n">
        <v>0.106619711753794</v>
      </c>
    </row>
    <row r="53" s="475" customFormat="true" ht="12.75" hidden="false" customHeight="true" outlineLevel="0" collapsed="false">
      <c r="A53" s="471" t="s">
        <v>1121</v>
      </c>
      <c r="B53" s="263" t="n">
        <v>1874</v>
      </c>
      <c r="C53" s="472" t="n">
        <v>0.256040502008032</v>
      </c>
      <c r="D53" s="472" t="n">
        <v>0.107253666014079</v>
      </c>
      <c r="E53" s="472" t="n">
        <v>0.136578063426637</v>
      </c>
      <c r="F53" s="472" t="n">
        <v>0.298387380848915</v>
      </c>
      <c r="G53" s="473" t="n">
        <v>1.12561040467682</v>
      </c>
      <c r="H53" s="473" t="n">
        <v>1.23627124164994</v>
      </c>
      <c r="I53" s="472" t="n">
        <v>0.109102070904892</v>
      </c>
      <c r="J53" s="472" t="n">
        <v>0.747399263183578</v>
      </c>
      <c r="K53" s="472" t="n">
        <v>0.067295</v>
      </c>
      <c r="L53" s="472" t="n">
        <v>0.187271511762445</v>
      </c>
      <c r="M53" s="472" t="n">
        <v>0.0980755594235385</v>
      </c>
      <c r="N53" s="473" t="n">
        <v>1.34730227860232</v>
      </c>
      <c r="O53" s="473" t="n">
        <v>1.84383663202425</v>
      </c>
      <c r="P53" s="473" t="n">
        <v>10.6907278991706</v>
      </c>
      <c r="Q53" s="473" t="n">
        <v>15.9782449842236</v>
      </c>
      <c r="R53" s="473" t="n">
        <v>2.56622258221401</v>
      </c>
      <c r="S53" s="473" t="n">
        <v>77.3138197681841</v>
      </c>
      <c r="T53" s="472" t="n">
        <v>0.127685001319631</v>
      </c>
      <c r="U53" s="472" t="n">
        <v>0.0803528209627388</v>
      </c>
      <c r="V53" s="472" t="n">
        <v>0.0581113486546549</v>
      </c>
      <c r="W53" s="472" t="n">
        <v>0.928670656303513</v>
      </c>
      <c r="X53" s="472" t="n">
        <v>0.0913238635799602</v>
      </c>
      <c r="Y53" s="472" t="n">
        <v>0.684747982051353</v>
      </c>
      <c r="Z53" s="472" t="n">
        <v>0.684747982051353</v>
      </c>
      <c r="AA53" s="474" t="n">
        <v>0.108869549778273</v>
      </c>
    </row>
    <row r="54" s="475" customFormat="true" ht="12.75" hidden="false" customHeight="true" outlineLevel="0" collapsed="false">
      <c r="A54" s="471" t="s">
        <v>1122</v>
      </c>
      <c r="B54" s="263" t="n">
        <v>139</v>
      </c>
      <c r="C54" s="472" t="n">
        <v>0.0466839175257732</v>
      </c>
      <c r="D54" s="472" t="n">
        <v>0.0772850233648143</v>
      </c>
      <c r="E54" s="472" t="n">
        <v>0.126158971658644</v>
      </c>
      <c r="F54" s="472" t="n">
        <v>0.254631819135578</v>
      </c>
      <c r="G54" s="473" t="n">
        <v>0.711301393505375</v>
      </c>
      <c r="H54" s="473" t="n">
        <v>0.758696340294383</v>
      </c>
      <c r="I54" s="472" t="n">
        <v>0.0822146039585738</v>
      </c>
      <c r="J54" s="472" t="n">
        <v>0.368722377567293</v>
      </c>
      <c r="K54" s="472" t="n">
        <v>0.057772</v>
      </c>
      <c r="L54" s="472" t="n">
        <v>0.222207360237271</v>
      </c>
      <c r="M54" s="472" t="n">
        <v>0.0735264383063293</v>
      </c>
      <c r="N54" s="473" t="n">
        <v>2.08808141702293</v>
      </c>
      <c r="O54" s="473" t="n">
        <v>1.07684670349394</v>
      </c>
      <c r="P54" s="473" t="n">
        <v>9.1443038159521</v>
      </c>
      <c r="Q54" s="473" t="n">
        <v>13.4853438364166</v>
      </c>
      <c r="R54" s="473" t="n">
        <v>1.79508465600212</v>
      </c>
      <c r="S54" s="473" t="n">
        <v>24.5846960116055</v>
      </c>
      <c r="T54" s="472" t="n">
        <v>0.150058172557879</v>
      </c>
      <c r="U54" s="472" t="n">
        <v>0.032486451947451</v>
      </c>
      <c r="V54" s="472" t="n">
        <v>0.0254944735841941</v>
      </c>
      <c r="W54" s="472" t="n">
        <v>0.598549065285197</v>
      </c>
      <c r="X54" s="472" t="n">
        <v>0.087389215216706</v>
      </c>
      <c r="Y54" s="472" t="n">
        <v>0.654913577701728</v>
      </c>
      <c r="Z54" s="472" t="n">
        <v>0.654913577701728</v>
      </c>
      <c r="AA54" s="474" t="n">
        <v>0.0784399551236084</v>
      </c>
    </row>
    <row r="55" s="475" customFormat="true" ht="12.75" hidden="false" customHeight="true" outlineLevel="0" collapsed="false">
      <c r="A55" s="471" t="s">
        <v>1123</v>
      </c>
      <c r="B55" s="263" t="n">
        <v>34</v>
      </c>
      <c r="C55" s="472" t="n">
        <v>0.102558823529412</v>
      </c>
      <c r="D55" s="472" t="n">
        <v>0.142719502457472</v>
      </c>
      <c r="E55" s="472" t="n">
        <v>0.1387668708403</v>
      </c>
      <c r="F55" s="472" t="n">
        <v>0.440476469025346</v>
      </c>
      <c r="G55" s="473" t="n">
        <v>0.632467618857714</v>
      </c>
      <c r="H55" s="473" t="n">
        <v>0.688733058006266</v>
      </c>
      <c r="I55" s="472" t="n">
        <v>0.0782756711657528</v>
      </c>
      <c r="J55" s="472" t="n">
        <v>0.291247336549662</v>
      </c>
      <c r="K55" s="472" t="n">
        <v>0.054406</v>
      </c>
      <c r="L55" s="472" t="n">
        <v>0.177643593995386</v>
      </c>
      <c r="M55" s="472" t="n">
        <v>0.071583397602365</v>
      </c>
      <c r="N55" s="473" t="n">
        <v>1.36859597504408</v>
      </c>
      <c r="O55" s="473" t="n">
        <v>1.32618206086823</v>
      </c>
      <c r="P55" s="473" t="n">
        <v>6.18167085670619</v>
      </c>
      <c r="Q55" s="473" t="n">
        <v>9.25018236642252</v>
      </c>
      <c r="R55" s="473" t="n">
        <v>1.71509815190776</v>
      </c>
      <c r="S55" s="473" t="n">
        <v>15.6302735905156</v>
      </c>
      <c r="T55" s="472" t="n">
        <v>0.0253645894737149</v>
      </c>
      <c r="U55" s="472" t="n">
        <v>0.0903934840158958</v>
      </c>
      <c r="V55" s="472" t="n">
        <v>0.0175644746465502</v>
      </c>
      <c r="W55" s="472" t="n">
        <v>0.249396169020436</v>
      </c>
      <c r="X55" s="472" t="n">
        <v>0.1220706575288</v>
      </c>
      <c r="Y55" s="472" t="n">
        <v>0.798688629901674</v>
      </c>
      <c r="Z55" s="472" t="n">
        <v>0.798688629901674</v>
      </c>
      <c r="AA55" s="474" t="n">
        <v>0.143438787651672</v>
      </c>
    </row>
    <row r="56" s="475" customFormat="true" ht="12.75" hidden="false" customHeight="true" outlineLevel="0" collapsed="false">
      <c r="A56" s="471" t="s">
        <v>1124</v>
      </c>
      <c r="B56" s="263" t="n">
        <v>539</v>
      </c>
      <c r="C56" s="472" t="n">
        <v>0.224859344262295</v>
      </c>
      <c r="D56" s="472" t="n">
        <v>0.285079032464311</v>
      </c>
      <c r="E56" s="472" t="n">
        <v>0.148694759207301</v>
      </c>
      <c r="F56" s="472" t="n">
        <v>0.350562530183037</v>
      </c>
      <c r="G56" s="473" t="n">
        <v>0.746385459160163</v>
      </c>
      <c r="H56" s="473" t="n">
        <v>0.885555467558471</v>
      </c>
      <c r="I56" s="472" t="n">
        <v>0.0893567728235419</v>
      </c>
      <c r="J56" s="472" t="n">
        <v>0.539180890532158</v>
      </c>
      <c r="K56" s="472" t="n">
        <v>0.060013</v>
      </c>
      <c r="L56" s="472" t="n">
        <v>0.263710209028284</v>
      </c>
      <c r="M56" s="472" t="n">
        <v>0.0776034538140983</v>
      </c>
      <c r="N56" s="473" t="n">
        <v>0.572799958774776</v>
      </c>
      <c r="O56" s="473" t="n">
        <v>2.58877421058069</v>
      </c>
      <c r="P56" s="473" t="n">
        <v>4.83656856178605</v>
      </c>
      <c r="Q56" s="473" t="n">
        <v>8.92589068754532</v>
      </c>
      <c r="R56" s="473" t="n">
        <v>1.33144674441092</v>
      </c>
      <c r="S56" s="473" t="n">
        <v>28.7605009065191</v>
      </c>
      <c r="T56" s="472" t="n">
        <v>0.0114034986061081</v>
      </c>
      <c r="U56" s="472" t="n">
        <v>0.336882134141374</v>
      </c>
      <c r="V56" s="472" t="n">
        <v>0.185272355297109</v>
      </c>
      <c r="W56" s="472" t="n">
        <v>0.926685228040107</v>
      </c>
      <c r="X56" s="472" t="n">
        <v>0.118037329776676</v>
      </c>
      <c r="Y56" s="472" t="n">
        <v>0.547919668608526</v>
      </c>
      <c r="Z56" s="472" t="n">
        <v>0.547919668608526</v>
      </c>
      <c r="AA56" s="474" t="n">
        <v>0.286669693602242</v>
      </c>
    </row>
    <row r="57" s="475" customFormat="true" ht="12.75" hidden="false" customHeight="true" outlineLevel="0" collapsed="false">
      <c r="A57" s="471" t="s">
        <v>1125</v>
      </c>
      <c r="B57" s="263" t="n">
        <v>186</v>
      </c>
      <c r="C57" s="472" t="n">
        <v>0.0959125563909774</v>
      </c>
      <c r="D57" s="472" t="n">
        <v>0.172418376914151</v>
      </c>
      <c r="E57" s="472" t="n">
        <v>0.0919107367497903</v>
      </c>
      <c r="F57" s="472" t="n">
        <v>0.186828010123199</v>
      </c>
      <c r="G57" s="473" t="n">
        <v>0.461154252714443</v>
      </c>
      <c r="H57" s="473" t="n">
        <v>0.653477888796321</v>
      </c>
      <c r="I57" s="472" t="n">
        <v>0.0762908051392329</v>
      </c>
      <c r="J57" s="472" t="n">
        <v>0.339573846311297</v>
      </c>
      <c r="K57" s="472" t="n">
        <v>0.057772</v>
      </c>
      <c r="L57" s="472" t="n">
        <v>0.380958350534143</v>
      </c>
      <c r="M57" s="472" t="n">
        <v>0.0636522979372028</v>
      </c>
      <c r="N57" s="473" t="n">
        <v>0.604443679554901</v>
      </c>
      <c r="O57" s="473" t="n">
        <v>3.05395739385667</v>
      </c>
      <c r="P57" s="473" t="n">
        <v>11.7825300059131</v>
      </c>
      <c r="Q57" s="473" t="n">
        <v>17.4306039951767</v>
      </c>
      <c r="R57" s="473" t="n">
        <v>2.09875689988017</v>
      </c>
      <c r="S57" s="473" t="n">
        <v>27.8293963722051</v>
      </c>
      <c r="T57" s="472" t="n">
        <v>0.026151137146679</v>
      </c>
      <c r="U57" s="472" t="n">
        <v>0.149777948917768</v>
      </c>
      <c r="V57" s="472" t="n">
        <v>0.107835983018226</v>
      </c>
      <c r="W57" s="472" t="n">
        <v>0.791626618832061</v>
      </c>
      <c r="X57" s="472" t="n">
        <v>0.130451999929614</v>
      </c>
      <c r="Y57" s="472" t="n">
        <v>0.817930166810962</v>
      </c>
      <c r="Z57" s="472" t="n">
        <v>0.817930166810962</v>
      </c>
      <c r="AA57" s="474" t="n">
        <v>0.173375232423339</v>
      </c>
    </row>
    <row r="58" s="475" customFormat="true" ht="12.75" hidden="false" customHeight="true" outlineLevel="0" collapsed="false">
      <c r="A58" s="471" t="s">
        <v>1126</v>
      </c>
      <c r="B58" s="263" t="n">
        <v>431</v>
      </c>
      <c r="C58" s="472" t="n">
        <v>0.116011969230769</v>
      </c>
      <c r="D58" s="472" t="n">
        <v>0.0500751167105016</v>
      </c>
      <c r="E58" s="472" t="n">
        <v>0.0905930096103808</v>
      </c>
      <c r="F58" s="472" t="n">
        <v>0.230261978404765</v>
      </c>
      <c r="G58" s="473" t="n">
        <v>0.799650869436217</v>
      </c>
      <c r="H58" s="473" t="n">
        <v>0.948236000692988</v>
      </c>
      <c r="I58" s="472" t="n">
        <v>0.0928856868390152</v>
      </c>
      <c r="J58" s="472" t="n">
        <v>0.422138039537677</v>
      </c>
      <c r="K58" s="472" t="n">
        <v>0.057772</v>
      </c>
      <c r="L58" s="472" t="n">
        <v>0.283991127175453</v>
      </c>
      <c r="M58" s="472" t="n">
        <v>0.0787513225635454</v>
      </c>
      <c r="N58" s="473" t="n">
        <v>2.09879057295969</v>
      </c>
      <c r="O58" s="473" t="n">
        <v>0.759867861681368</v>
      </c>
      <c r="P58" s="473" t="n">
        <v>8.83033678983486</v>
      </c>
      <c r="Q58" s="473" t="n">
        <v>14.4933047144007</v>
      </c>
      <c r="R58" s="473" t="n">
        <v>1.54283288756448</v>
      </c>
      <c r="S58" s="473" t="n">
        <v>41.4520631580856</v>
      </c>
      <c r="T58" s="472" t="n">
        <v>0.0547514870267604</v>
      </c>
      <c r="U58" s="472" t="n">
        <v>0.0421274416747891</v>
      </c>
      <c r="V58" s="472" t="n">
        <v>0.0216104626516346</v>
      </c>
      <c r="W58" s="472" t="n">
        <v>0.288966277982025</v>
      </c>
      <c r="X58" s="472" t="n">
        <v>0.082642239548227</v>
      </c>
      <c r="Y58" s="472" t="n">
        <v>0.555538657333003</v>
      </c>
      <c r="Z58" s="472" t="n">
        <v>0.555538657333003</v>
      </c>
      <c r="AA58" s="474" t="n">
        <v>0.0508968225101417</v>
      </c>
    </row>
    <row r="59" s="475" customFormat="true" ht="12.75" hidden="false" customHeight="true" outlineLevel="0" collapsed="false">
      <c r="A59" s="471" t="s">
        <v>674</v>
      </c>
      <c r="B59" s="263" t="n">
        <v>438</v>
      </c>
      <c r="C59" s="472" t="n">
        <v>0.078556686746988</v>
      </c>
      <c r="D59" s="472" t="n">
        <v>0.0783601445314515</v>
      </c>
      <c r="E59" s="472" t="n">
        <v>0.0928325698008085</v>
      </c>
      <c r="F59" s="472" t="n">
        <v>0.232554211117323</v>
      </c>
      <c r="G59" s="473" t="n">
        <v>0.575552443964147</v>
      </c>
      <c r="H59" s="473" t="n">
        <v>0.759135132570416</v>
      </c>
      <c r="I59" s="472" t="n">
        <v>0.0822393079637144</v>
      </c>
      <c r="J59" s="472" t="n">
        <v>0.34411707239623</v>
      </c>
      <c r="K59" s="472" t="n">
        <v>0.057772</v>
      </c>
      <c r="L59" s="472" t="n">
        <v>0.344893303351767</v>
      </c>
      <c r="M59" s="472" t="n">
        <v>0.0687456801647658</v>
      </c>
      <c r="N59" s="473" t="n">
        <v>1.42515330398641</v>
      </c>
      <c r="O59" s="473" t="n">
        <v>1.37957542140355</v>
      </c>
      <c r="P59" s="473" t="n">
        <v>9.56236673989638</v>
      </c>
      <c r="Q59" s="473" t="n">
        <v>17.0412435382798</v>
      </c>
      <c r="R59" s="473" t="n">
        <v>1.61861881099788</v>
      </c>
      <c r="S59" s="473" t="n">
        <v>38.9120577313437</v>
      </c>
      <c r="T59" s="472" t="n">
        <v>0.156622438036869</v>
      </c>
      <c r="U59" s="472" t="n">
        <v>0.0606534739840347</v>
      </c>
      <c r="V59" s="472" t="n">
        <v>0.0396136268755411</v>
      </c>
      <c r="W59" s="472" t="n">
        <v>0.842826289447334</v>
      </c>
      <c r="X59" s="472" t="n">
        <v>0.0857993848522087</v>
      </c>
      <c r="Y59" s="472" t="n">
        <v>0.660601213396367</v>
      </c>
      <c r="Z59" s="472" t="n">
        <v>0.660601213396367</v>
      </c>
      <c r="AA59" s="474" t="n">
        <v>0.080003259148468</v>
      </c>
    </row>
    <row r="60" s="475" customFormat="true" ht="12.75" hidden="false" customHeight="true" outlineLevel="0" collapsed="false">
      <c r="A60" s="471" t="s">
        <v>1127</v>
      </c>
      <c r="B60" s="263" t="n">
        <v>271</v>
      </c>
      <c r="C60" s="472" t="n">
        <v>0.0692128571428571</v>
      </c>
      <c r="D60" s="472" t="n">
        <v>0.0429656719054435</v>
      </c>
      <c r="E60" s="472" t="n">
        <v>0.0291281321266958</v>
      </c>
      <c r="F60" s="472" t="n">
        <v>0.222557661304891</v>
      </c>
      <c r="G60" s="473" t="n">
        <v>0.61065401103727</v>
      </c>
      <c r="H60" s="473" t="n">
        <v>0.888690336278002</v>
      </c>
      <c r="I60" s="472" t="n">
        <v>0.0895332659324515</v>
      </c>
      <c r="J60" s="472" t="n">
        <v>0.367510215378427</v>
      </c>
      <c r="K60" s="472" t="n">
        <v>0.057772</v>
      </c>
      <c r="L60" s="472" t="n">
        <v>0.438457094570333</v>
      </c>
      <c r="M60" s="472" t="n">
        <v>0.069180954724864</v>
      </c>
      <c r="N60" s="473" t="n">
        <v>0.793648873630325</v>
      </c>
      <c r="O60" s="473" t="n">
        <v>1.30433125770769</v>
      </c>
      <c r="P60" s="473" t="n">
        <v>10.4790502223537</v>
      </c>
      <c r="Q60" s="473" t="n">
        <v>28.6626702241529</v>
      </c>
      <c r="R60" s="473" t="n">
        <v>0.935247487996876</v>
      </c>
      <c r="S60" s="473" t="n">
        <v>149.245026947904</v>
      </c>
      <c r="T60" s="472" t="n">
        <v>0.175541257556112</v>
      </c>
      <c r="U60" s="472" t="n">
        <v>0.0936470476536063</v>
      </c>
      <c r="V60" s="472" t="n">
        <v>0.0438990609782805</v>
      </c>
      <c r="W60" s="472" t="n">
        <v>1.37298699477638</v>
      </c>
      <c r="X60" s="472" t="n">
        <v>0.0176414877477668</v>
      </c>
      <c r="Y60" s="472" t="n">
        <v>2.05952954322415</v>
      </c>
      <c r="Z60" s="472" t="n">
        <v>2.05952954322415</v>
      </c>
      <c r="AA60" s="474" t="n">
        <v>0.0426338884320736</v>
      </c>
    </row>
    <row r="61" s="475" customFormat="true" ht="12.75" hidden="false" customHeight="true" outlineLevel="0" collapsed="false">
      <c r="A61" s="471" t="s">
        <v>1128</v>
      </c>
      <c r="B61" s="263" t="n">
        <v>486</v>
      </c>
      <c r="C61" s="472" t="n">
        <v>0.101560572792363</v>
      </c>
      <c r="D61" s="472" t="n">
        <v>0.151635359405483</v>
      </c>
      <c r="E61" s="472" t="n">
        <v>0.07017650626025</v>
      </c>
      <c r="F61" s="472" t="n">
        <v>0.203246286008592</v>
      </c>
      <c r="G61" s="473" t="n">
        <v>0.45529282820391</v>
      </c>
      <c r="H61" s="473" t="n">
        <v>0.713095834385215</v>
      </c>
      <c r="I61" s="472" t="n">
        <v>0.0796472954758876</v>
      </c>
      <c r="J61" s="472" t="n">
        <v>0.306094059709723</v>
      </c>
      <c r="K61" s="472" t="n">
        <v>0.057772</v>
      </c>
      <c r="L61" s="472" t="n">
        <v>0.461977296618897</v>
      </c>
      <c r="M61" s="472" t="n">
        <v>0.0627703169103238</v>
      </c>
      <c r="N61" s="473" t="n">
        <v>0.565609939006503</v>
      </c>
      <c r="O61" s="473" t="n">
        <v>2.55195590623608</v>
      </c>
      <c r="P61" s="473" t="n">
        <v>10.1001739282127</v>
      </c>
      <c r="Q61" s="473" t="n">
        <v>16.7908476305013</v>
      </c>
      <c r="R61" s="473" t="n">
        <v>1.46092776996801</v>
      </c>
      <c r="S61" s="473" t="n">
        <v>62.5648075380976</v>
      </c>
      <c r="T61" s="472" t="n">
        <v>0.027031044696667</v>
      </c>
      <c r="U61" s="472" t="n">
        <v>0.214564475334598</v>
      </c>
      <c r="V61" s="472" t="n">
        <v>0.134007093307627</v>
      </c>
      <c r="W61" s="472" t="n">
        <v>1.1260896594788</v>
      </c>
      <c r="X61" s="472" t="n">
        <v>0.102744054437984</v>
      </c>
      <c r="Y61" s="472" t="n">
        <v>0.620027265181914</v>
      </c>
      <c r="Z61" s="472" t="n">
        <v>0.620027265181914</v>
      </c>
      <c r="AA61" s="474" t="n">
        <v>0.151596979686276</v>
      </c>
    </row>
    <row r="62" s="475" customFormat="true" ht="12.75" hidden="false" customHeight="true" outlineLevel="0" collapsed="false">
      <c r="A62" s="471" t="s">
        <v>1129</v>
      </c>
      <c r="B62" s="263" t="n">
        <v>777</v>
      </c>
      <c r="C62" s="472" t="n">
        <v>0.374624569892473</v>
      </c>
      <c r="D62" s="472" t="n">
        <v>0.2494359793074</v>
      </c>
      <c r="E62" s="472" t="n">
        <v>0.215301387337378</v>
      </c>
      <c r="F62" s="472" t="n">
        <v>0.280789209979359</v>
      </c>
      <c r="G62" s="473" t="n">
        <v>1.37393819111135</v>
      </c>
      <c r="H62" s="473" t="n">
        <v>1.39750272167059</v>
      </c>
      <c r="I62" s="472" t="n">
        <v>0.118179403230054</v>
      </c>
      <c r="J62" s="472" t="n">
        <v>0.798937105604819</v>
      </c>
      <c r="K62" s="472" t="n">
        <v>0.067295</v>
      </c>
      <c r="L62" s="472" t="n">
        <v>0.0830375788620926</v>
      </c>
      <c r="M62" s="472" t="n">
        <v>0.11253640646529</v>
      </c>
      <c r="N62" s="473" t="n">
        <v>0.917643435885882</v>
      </c>
      <c r="O62" s="473" t="n">
        <v>4.75338152656926</v>
      </c>
      <c r="P62" s="473" t="n">
        <v>12.73651266924</v>
      </c>
      <c r="Q62" s="473" t="n">
        <v>17.8377392282532</v>
      </c>
      <c r="R62" s="473" t="n">
        <v>3.80465728030475</v>
      </c>
      <c r="S62" s="473" t="n">
        <v>116.984363603427</v>
      </c>
      <c r="T62" s="472" t="n">
        <v>0.0802792406632372</v>
      </c>
      <c r="U62" s="472" t="n">
        <v>0.160357552526251</v>
      </c>
      <c r="V62" s="472" t="n">
        <v>0.117885584762895</v>
      </c>
      <c r="W62" s="472" t="n">
        <v>0.715851867850095</v>
      </c>
      <c r="X62" s="472" t="n">
        <v>0.169019584181424</v>
      </c>
      <c r="Y62" s="472" t="n">
        <v>0.295641787517188</v>
      </c>
      <c r="Z62" s="472" t="n">
        <v>0.295641787517188</v>
      </c>
      <c r="AA62" s="474" t="n">
        <v>0.249743381295803</v>
      </c>
    </row>
    <row r="63" s="475" customFormat="true" ht="12.75" hidden="false" customHeight="true" outlineLevel="0" collapsed="false">
      <c r="A63" s="471" t="s">
        <v>1130</v>
      </c>
      <c r="B63" s="263" t="n">
        <v>307</v>
      </c>
      <c r="C63" s="472" t="n">
        <v>0.0305724705882353</v>
      </c>
      <c r="D63" s="472" t="n">
        <v>0.0738159038517056</v>
      </c>
      <c r="E63" s="472" t="n">
        <v>0.0932219061445599</v>
      </c>
      <c r="F63" s="472" t="n">
        <v>0.265406956569354</v>
      </c>
      <c r="G63" s="473" t="n">
        <v>0.778788963026827</v>
      </c>
      <c r="H63" s="473" t="n">
        <v>0.816628062936414</v>
      </c>
      <c r="I63" s="472" t="n">
        <v>0.0854761599433201</v>
      </c>
      <c r="J63" s="472" t="n">
        <v>0.361768080578191</v>
      </c>
      <c r="K63" s="472" t="n">
        <v>0.057772</v>
      </c>
      <c r="L63" s="472" t="n">
        <v>0.218682296399185</v>
      </c>
      <c r="M63" s="472" t="n">
        <v>0.0762125774797891</v>
      </c>
      <c r="N63" s="473" t="n">
        <v>1.55920063164046</v>
      </c>
      <c r="O63" s="473" t="n">
        <v>1.29806638869574</v>
      </c>
      <c r="P63" s="473" t="n">
        <v>10.2317981092487</v>
      </c>
      <c r="Q63" s="473" t="n">
        <v>16.4922305047955</v>
      </c>
      <c r="R63" s="473" t="n">
        <v>1.5238708199136</v>
      </c>
      <c r="S63" s="473" t="n">
        <v>71.3649212245277</v>
      </c>
      <c r="T63" s="472" t="n">
        <v>0.0723611886908309</v>
      </c>
      <c r="U63" s="472" t="n">
        <v>0.0345086836943928</v>
      </c>
      <c r="V63" s="472" t="n">
        <v>0.0189527134263533</v>
      </c>
      <c r="W63" s="472" t="n">
        <v>0.594105986428523</v>
      </c>
      <c r="X63" s="472" t="n">
        <v>0.0702893637956548</v>
      </c>
      <c r="Y63" s="472" t="n">
        <v>0.484929490888346</v>
      </c>
      <c r="Z63" s="472" t="n">
        <v>0.484929490888346</v>
      </c>
      <c r="AA63" s="474" t="n">
        <v>0.07428540002339</v>
      </c>
    </row>
    <row r="64" s="475" customFormat="true" ht="12.75" hidden="false" customHeight="true" outlineLevel="0" collapsed="false">
      <c r="A64" s="471" t="s">
        <v>680</v>
      </c>
      <c r="B64" s="263" t="n">
        <v>643</v>
      </c>
      <c r="C64" s="472" t="n">
        <v>0.114943844580777</v>
      </c>
      <c r="D64" s="472" t="n">
        <v>0.319163826068225</v>
      </c>
      <c r="E64" s="472" t="n">
        <v>0.0366233349645664</v>
      </c>
      <c r="F64" s="472" t="n">
        <v>0.0510041016899567</v>
      </c>
      <c r="G64" s="473" t="n">
        <v>0.361710780101713</v>
      </c>
      <c r="H64" s="473" t="n">
        <v>0.564915804176881</v>
      </c>
      <c r="I64" s="472" t="n">
        <v>0.0713047597751584</v>
      </c>
      <c r="J64" s="472" t="n">
        <v>0.228122440105428</v>
      </c>
      <c r="K64" s="472" t="n">
        <v>0.054406</v>
      </c>
      <c r="L64" s="472" t="n">
        <v>0.444674146671757</v>
      </c>
      <c r="M64" s="472" t="n">
        <v>0.0576525689023648</v>
      </c>
      <c r="N64" s="473" t="n">
        <v>0.127078899954272</v>
      </c>
      <c r="O64" s="473" t="n">
        <v>10.8342319567824</v>
      </c>
      <c r="P64" s="473" t="n">
        <v>19.6958287594665</v>
      </c>
      <c r="Q64" s="473" t="n">
        <v>31.7510493847978</v>
      </c>
      <c r="R64" s="473" t="n">
        <v>1.49052637005451</v>
      </c>
      <c r="S64" s="473" t="n">
        <v>27.8469410150124</v>
      </c>
      <c r="T64" s="472" t="n">
        <v>1.12112225015932</v>
      </c>
      <c r="U64" s="472" t="n">
        <v>0.0447980856398085</v>
      </c>
      <c r="V64" s="472" t="n">
        <v>-0.0558828458351994</v>
      </c>
      <c r="W64" s="472" t="n">
        <v>-0.173663724649578</v>
      </c>
      <c r="X64" s="472" t="n">
        <v>0.0532089440427879</v>
      </c>
      <c r="Y64" s="472" t="n">
        <v>1.40272425878922</v>
      </c>
      <c r="Z64" s="472" t="n">
        <v>1.40272425878922</v>
      </c>
      <c r="AA64" s="474" t="n">
        <v>0.3001236105921</v>
      </c>
    </row>
    <row r="65" s="475" customFormat="true" ht="12.75" hidden="false" customHeight="true" outlineLevel="0" collapsed="false">
      <c r="A65" s="471" t="s">
        <v>1131</v>
      </c>
      <c r="B65" s="263" t="n">
        <v>895</v>
      </c>
      <c r="C65" s="472" t="n">
        <v>0.109278807854137</v>
      </c>
      <c r="D65" s="472" t="n">
        <v>0.034640434048006</v>
      </c>
      <c r="E65" s="472" t="n">
        <v>0.0120773867635199</v>
      </c>
      <c r="F65" s="472" t="n">
        <v>0.295343460509085</v>
      </c>
      <c r="G65" s="473" t="n">
        <v>0.445943009447833</v>
      </c>
      <c r="H65" s="473" t="n">
        <v>0.925596350921277</v>
      </c>
      <c r="I65" s="472" t="n">
        <v>0.0916110745568679</v>
      </c>
      <c r="J65" s="472" t="n">
        <v>0.431637529883347</v>
      </c>
      <c r="K65" s="472" t="n">
        <v>0.057772</v>
      </c>
      <c r="L65" s="472" t="n">
        <v>0.656574931320522</v>
      </c>
      <c r="M65" s="472" t="n">
        <v>0.0597699276770307</v>
      </c>
      <c r="N65" s="473" t="n">
        <v>0.411477671392781</v>
      </c>
      <c r="O65" s="473" t="n">
        <v>2.08249739415861</v>
      </c>
      <c r="P65" s="473" t="n">
        <v>14.0818099276782</v>
      </c>
      <c r="Q65" s="473" t="n">
        <v>40.1909309194856</v>
      </c>
      <c r="R65" s="473" t="n">
        <v>0.558233609816638</v>
      </c>
      <c r="S65" s="473" t="n">
        <v>49.302438688236</v>
      </c>
      <c r="T65" s="472" t="n">
        <v>1.70912955015364</v>
      </c>
      <c r="U65" s="472" t="n">
        <v>0.0117690405801245</v>
      </c>
      <c r="V65" s="472" t="n">
        <v>0.000538708576107449</v>
      </c>
      <c r="W65" s="472" t="n">
        <v>-10.8222074747252</v>
      </c>
      <c r="X65" s="472" t="n">
        <v>-0.0592492870917673</v>
      </c>
      <c r="Y65" s="472" t="n">
        <v>0.00417135072450621</v>
      </c>
      <c r="Z65" s="472" t="n">
        <v>0.00417135072450625</v>
      </c>
      <c r="AA65" s="474" t="n">
        <v>0.0343949057180571</v>
      </c>
    </row>
    <row r="66" s="475" customFormat="true" ht="12.75" hidden="false" customHeight="true" outlineLevel="0" collapsed="false">
      <c r="A66" s="471" t="s">
        <v>1132</v>
      </c>
      <c r="B66" s="263" t="n">
        <v>312</v>
      </c>
      <c r="C66" s="472" t="n">
        <v>0.116948910505837</v>
      </c>
      <c r="D66" s="472" t="n">
        <v>0.149190445643203</v>
      </c>
      <c r="E66" s="472" t="n">
        <v>0.0359029157450403</v>
      </c>
      <c r="F66" s="472" t="n">
        <v>0.244292160723022</v>
      </c>
      <c r="G66" s="473" t="n">
        <v>0.597641557792946</v>
      </c>
      <c r="H66" s="473" t="n">
        <v>0.927851096782394</v>
      </c>
      <c r="I66" s="472" t="n">
        <v>0.0917380167488488</v>
      </c>
      <c r="J66" s="472" t="n">
        <v>0.3351451420431</v>
      </c>
      <c r="K66" s="472" t="n">
        <v>0.057772</v>
      </c>
      <c r="L66" s="472" t="n">
        <v>0.469662310094571</v>
      </c>
      <c r="M66" s="472" t="n">
        <v>0.0689017327885562</v>
      </c>
      <c r="N66" s="473" t="n">
        <v>0.269297713467249</v>
      </c>
      <c r="O66" s="473" t="n">
        <v>3.78573419100533</v>
      </c>
      <c r="P66" s="473" t="n">
        <v>15.0164391000157</v>
      </c>
      <c r="Q66" s="473" t="n">
        <v>22.4565633784081</v>
      </c>
      <c r="R66" s="473" t="n">
        <v>0.926558502946914</v>
      </c>
      <c r="S66" s="473" t="n">
        <v>35.032230537891</v>
      </c>
      <c r="T66" s="472" t="n">
        <v>1.16940909728276</v>
      </c>
      <c r="U66" s="472" t="n">
        <v>0.0910463846789585</v>
      </c>
      <c r="V66" s="472" t="n">
        <v>0.0706249081283494</v>
      </c>
      <c r="W66" s="472" t="n">
        <v>0.657538642401746</v>
      </c>
      <c r="X66" s="472" t="n">
        <v>0.0344476413600075</v>
      </c>
      <c r="Y66" s="472" t="n">
        <v>0.637746476966248</v>
      </c>
      <c r="Z66" s="472" t="n">
        <v>0.637746476966248</v>
      </c>
      <c r="AA66" s="474" t="n">
        <v>0.156058533355283</v>
      </c>
    </row>
    <row r="67" s="475" customFormat="true" ht="12.75" hidden="false" customHeight="true" outlineLevel="0" collapsed="false">
      <c r="A67" s="471" t="s">
        <v>1133</v>
      </c>
      <c r="B67" s="263" t="n">
        <v>752</v>
      </c>
      <c r="C67" s="472" t="n">
        <v>0.106951550802139</v>
      </c>
      <c r="D67" s="472" t="n">
        <v>0.173987054280447</v>
      </c>
      <c r="E67" s="472" t="n">
        <v>0.0419461020900349</v>
      </c>
      <c r="F67" s="472" t="n">
        <v>0.188445927979184</v>
      </c>
      <c r="G67" s="473" t="n">
        <v>0.514124382070028</v>
      </c>
      <c r="H67" s="473" t="n">
        <v>0.781761597866153</v>
      </c>
      <c r="I67" s="472" t="n">
        <v>0.0835131779598644</v>
      </c>
      <c r="J67" s="472" t="n">
        <v>0.362706174632122</v>
      </c>
      <c r="K67" s="472" t="n">
        <v>0.057772</v>
      </c>
      <c r="L67" s="472" t="n">
        <v>0.452061860480563</v>
      </c>
      <c r="M67" s="472" t="n">
        <v>0.0652508125935724</v>
      </c>
      <c r="N67" s="473" t="n">
        <v>0.277251112615481</v>
      </c>
      <c r="O67" s="473" t="n">
        <v>4.14927162039257</v>
      </c>
      <c r="P67" s="473" t="n">
        <v>18.46448433542</v>
      </c>
      <c r="Q67" s="473" t="n">
        <v>22.1981878059691</v>
      </c>
      <c r="R67" s="473" t="n">
        <v>0.994834561489212</v>
      </c>
      <c r="S67" s="473" t="n">
        <v>65.4091210947221</v>
      </c>
      <c r="T67" s="472" t="n">
        <v>0.184672479734947</v>
      </c>
      <c r="U67" s="472" t="n">
        <v>0.0208541157359405</v>
      </c>
      <c r="V67" s="472" t="n">
        <v>0.0225499315201305</v>
      </c>
      <c r="W67" s="472" t="n">
        <v>0.258921062153833</v>
      </c>
      <c r="X67" s="472" t="n">
        <v>0.0501661582292589</v>
      </c>
      <c r="Y67" s="472" t="n">
        <v>0.472411259682325</v>
      </c>
      <c r="Z67" s="472" t="n">
        <v>0.472411259682325</v>
      </c>
      <c r="AA67" s="474" t="n">
        <v>0.177306426135495</v>
      </c>
    </row>
    <row r="68" s="475" customFormat="true" ht="12.75" hidden="false" customHeight="true" outlineLevel="0" collapsed="false">
      <c r="A68" s="471" t="s">
        <v>682</v>
      </c>
      <c r="B68" s="263" t="n">
        <v>332</v>
      </c>
      <c r="C68" s="472" t="n">
        <v>0.0877145849802371</v>
      </c>
      <c r="D68" s="472" t="n">
        <v>0.105168768980502</v>
      </c>
      <c r="E68" s="472" t="n">
        <v>0.0953029065824744</v>
      </c>
      <c r="F68" s="472" t="n">
        <v>0.261924180193841</v>
      </c>
      <c r="G68" s="473" t="n">
        <v>0.889970565616549</v>
      </c>
      <c r="H68" s="473" t="n">
        <v>1.0063798615893</v>
      </c>
      <c r="I68" s="472" t="n">
        <v>0.0961591862074774</v>
      </c>
      <c r="J68" s="472" t="n">
        <v>0.388764014414278</v>
      </c>
      <c r="K68" s="472" t="n">
        <v>0.057772</v>
      </c>
      <c r="L68" s="472" t="n">
        <v>0.25019304053806</v>
      </c>
      <c r="M68" s="472" t="n">
        <v>0.0828879609243863</v>
      </c>
      <c r="N68" s="473" t="n">
        <v>1.20556446296772</v>
      </c>
      <c r="O68" s="473" t="n">
        <v>2.03757941692161</v>
      </c>
      <c r="P68" s="473" t="n">
        <v>11.4411761198533</v>
      </c>
      <c r="Q68" s="473" t="n">
        <v>19.905470428537</v>
      </c>
      <c r="R68" s="473" t="n">
        <v>2.64070107622009</v>
      </c>
      <c r="S68" s="473" t="n">
        <v>518.476505010956</v>
      </c>
      <c r="T68" s="472" t="n">
        <v>0.138623447934181</v>
      </c>
      <c r="U68" s="472" t="n">
        <v>0.0597133717549177</v>
      </c>
      <c r="V68" s="472" t="n">
        <v>0.0211040562593961</v>
      </c>
      <c r="W68" s="472" t="n">
        <v>0.250606329828634</v>
      </c>
      <c r="X68" s="472" t="n">
        <v>0.038863687147948</v>
      </c>
      <c r="Y68" s="472" t="n">
        <v>1.26702504208749</v>
      </c>
      <c r="Z68" s="472" t="n">
        <v>1.26702504208749</v>
      </c>
      <c r="AA68" s="474" t="n">
        <v>0.101442045135876</v>
      </c>
    </row>
    <row r="69" s="475" customFormat="true" ht="12.75" hidden="false" customHeight="true" outlineLevel="0" collapsed="false">
      <c r="A69" s="471" t="s">
        <v>1134</v>
      </c>
      <c r="B69" s="263" t="n">
        <v>32</v>
      </c>
      <c r="C69" s="472" t="n">
        <v>0.0827478571428572</v>
      </c>
      <c r="D69" s="472" t="n">
        <v>0.133212096713504</v>
      </c>
      <c r="E69" s="472" t="n">
        <v>0.174543848079534</v>
      </c>
      <c r="F69" s="472" t="n">
        <v>0.229602915244469</v>
      </c>
      <c r="G69" s="473" t="n">
        <v>0.952667744691642</v>
      </c>
      <c r="H69" s="473" t="n">
        <v>0.989465601890378</v>
      </c>
      <c r="I69" s="472" t="n">
        <v>0.0952069133864283</v>
      </c>
      <c r="J69" s="472" t="n">
        <v>0.30571501403257</v>
      </c>
      <c r="K69" s="472" t="n">
        <v>0.057772</v>
      </c>
      <c r="L69" s="472" t="n">
        <v>0.16860362927228</v>
      </c>
      <c r="M69" s="472" t="n">
        <v>0.0864240688055833</v>
      </c>
      <c r="N69" s="473" t="n">
        <v>1.59309016890703</v>
      </c>
      <c r="O69" s="473" t="n">
        <v>1.05046121035929</v>
      </c>
      <c r="P69" s="473" t="n">
        <v>7.91825806910534</v>
      </c>
      <c r="Q69" s="473" t="n">
        <v>5.31556847666503</v>
      </c>
      <c r="R69" s="473" t="n">
        <v>1.43057036759674</v>
      </c>
      <c r="S69" s="473" t="n">
        <v>10.8979996364156</v>
      </c>
      <c r="T69" s="472" t="n">
        <v>-0.646991351690546</v>
      </c>
      <c r="U69" s="472" t="n">
        <v>0.000546625225298314</v>
      </c>
      <c r="V69" s="472" t="n">
        <v>0.0447152419708137</v>
      </c>
      <c r="W69" s="472" t="n">
        <v>0.488117215290142</v>
      </c>
      <c r="X69" s="472" t="n">
        <v>0.156464894815013</v>
      </c>
      <c r="Y69" s="472" t="n">
        <v>0.249868397489432</v>
      </c>
      <c r="Z69" s="472" t="n">
        <v>0.249868397489432</v>
      </c>
      <c r="AA69" s="474" t="n">
        <v>0.133198269749382</v>
      </c>
    </row>
    <row r="70" s="475" customFormat="true" ht="12.75" hidden="false" customHeight="true" outlineLevel="0" collapsed="false">
      <c r="A70" s="471" t="s">
        <v>1135</v>
      </c>
      <c r="B70" s="263" t="n">
        <v>410</v>
      </c>
      <c r="C70" s="472" t="n">
        <v>0.0890474489795918</v>
      </c>
      <c r="D70" s="472" t="n">
        <v>0.095090142422775</v>
      </c>
      <c r="E70" s="472" t="n">
        <v>0.14183906093505</v>
      </c>
      <c r="F70" s="472" t="n">
        <v>0.229602417918017</v>
      </c>
      <c r="G70" s="473" t="n">
        <v>0.660626356475978</v>
      </c>
      <c r="H70" s="473" t="n">
        <v>0.754704218800529</v>
      </c>
      <c r="I70" s="472" t="n">
        <v>0.0819898475184698</v>
      </c>
      <c r="J70" s="472" t="n">
        <v>0.331407656812288</v>
      </c>
      <c r="K70" s="472" t="n">
        <v>0.057772</v>
      </c>
      <c r="L70" s="472" t="n">
        <v>0.20643756890014</v>
      </c>
      <c r="M70" s="472" t="n">
        <v>0.073964668793585</v>
      </c>
      <c r="N70" s="473" t="n">
        <v>1.99542234933218</v>
      </c>
      <c r="O70" s="473" t="n">
        <v>2.4732234030955</v>
      </c>
      <c r="P70" s="473" t="n">
        <v>16.5965444443471</v>
      </c>
      <c r="Q70" s="473" t="n">
        <v>27.8766320583835</v>
      </c>
      <c r="R70" s="473" t="n">
        <v>8.95621774741754</v>
      </c>
      <c r="S70" s="473" t="n">
        <v>67.3058058985545</v>
      </c>
      <c r="T70" s="472" t="n">
        <v>-0.008902963365389</v>
      </c>
      <c r="U70" s="472" t="n">
        <v>0.0422923841717848</v>
      </c>
      <c r="V70" s="472" t="n">
        <v>0.0178588332195537</v>
      </c>
      <c r="W70" s="472" t="n">
        <v>0.27267513631651</v>
      </c>
      <c r="X70" s="472" t="n">
        <v>0.281362696708074</v>
      </c>
      <c r="Y70" s="472" t="n">
        <v>0.665651849820262</v>
      </c>
      <c r="Z70" s="472" t="n">
        <v>0.665651849820262</v>
      </c>
      <c r="AA70" s="474" t="n">
        <v>0.088732213744314</v>
      </c>
    </row>
    <row r="71" s="475" customFormat="true" ht="12.75" hidden="false" customHeight="true" outlineLevel="0" collapsed="false">
      <c r="A71" s="471" t="s">
        <v>1136</v>
      </c>
      <c r="B71" s="263" t="n">
        <v>212</v>
      </c>
      <c r="C71" s="472" t="n">
        <v>0.109839797297297</v>
      </c>
      <c r="D71" s="472" t="n">
        <v>0.0515136729258336</v>
      </c>
      <c r="E71" s="472" t="n">
        <v>0.104741291819689</v>
      </c>
      <c r="F71" s="472" t="n">
        <v>0.233941257995207</v>
      </c>
      <c r="G71" s="473" t="n">
        <v>0.629805634518291</v>
      </c>
      <c r="H71" s="473" t="n">
        <v>0.834553378384509</v>
      </c>
      <c r="I71" s="472" t="n">
        <v>0.0864853552030479</v>
      </c>
      <c r="J71" s="472" t="n">
        <v>0.370702715428383</v>
      </c>
      <c r="K71" s="472" t="n">
        <v>0.057772</v>
      </c>
      <c r="L71" s="472" t="n">
        <v>0.345329223597378</v>
      </c>
      <c r="M71" s="472" t="n">
        <v>0.0715083882358358</v>
      </c>
      <c r="N71" s="473" t="n">
        <v>2.53731972223723</v>
      </c>
      <c r="O71" s="473" t="n">
        <v>0.877902407730355</v>
      </c>
      <c r="P71" s="473" t="n">
        <v>12.2823302600203</v>
      </c>
      <c r="Q71" s="473" t="n">
        <v>17.5629096173148</v>
      </c>
      <c r="R71" s="473" t="n">
        <v>3.19047422188597</v>
      </c>
      <c r="S71" s="473" t="n">
        <v>238.003934271649</v>
      </c>
      <c r="T71" s="472" t="n">
        <v>0.103205125104934</v>
      </c>
      <c r="U71" s="472" t="n">
        <v>0.024217972164795</v>
      </c>
      <c r="V71" s="472" t="n">
        <v>0.0183178264590644</v>
      </c>
      <c r="W71" s="472" t="n">
        <v>0.396966193179495</v>
      </c>
      <c r="X71" s="472" t="n">
        <v>0.127184959330398</v>
      </c>
      <c r="Y71" s="472" t="n">
        <v>0.414612321634717</v>
      </c>
      <c r="Z71" s="472" t="n">
        <v>0.414612321634717</v>
      </c>
      <c r="AA71" s="474" t="n">
        <v>0.0497267339668928</v>
      </c>
    </row>
    <row r="72" s="475" customFormat="true" ht="12.75" hidden="false" customHeight="true" outlineLevel="0" collapsed="false">
      <c r="A72" s="471" t="s">
        <v>1137</v>
      </c>
      <c r="B72" s="263" t="n">
        <v>121</v>
      </c>
      <c r="C72" s="472" t="n">
        <v>0.0439415909090909</v>
      </c>
      <c r="D72" s="472" t="n">
        <v>0.105900482880206</v>
      </c>
      <c r="E72" s="472" t="n">
        <v>0.231414778751026</v>
      </c>
      <c r="F72" s="472" t="n">
        <v>0.246617135404608</v>
      </c>
      <c r="G72" s="473" t="n">
        <v>0.804654126144144</v>
      </c>
      <c r="H72" s="473" t="n">
        <v>0.944888626318157</v>
      </c>
      <c r="I72" s="472" t="n">
        <v>0.0926972296617123</v>
      </c>
      <c r="J72" s="472" t="n">
        <v>0.343183949510576</v>
      </c>
      <c r="K72" s="472" t="n">
        <v>0.057772</v>
      </c>
      <c r="L72" s="472" t="n">
        <v>0.206045474346459</v>
      </c>
      <c r="M72" s="472" t="n">
        <v>0.0824810858245873</v>
      </c>
      <c r="N72" s="473" t="n">
        <v>2.74282699905945</v>
      </c>
      <c r="O72" s="473" t="n">
        <v>1.90910637574956</v>
      </c>
      <c r="P72" s="473" t="n">
        <v>13.4819504184892</v>
      </c>
      <c r="Q72" s="473" t="n">
        <v>18.1949829810823</v>
      </c>
      <c r="R72" s="473" t="n">
        <v>12.6709642536482</v>
      </c>
      <c r="S72" s="473" t="n">
        <v>27.8287115105139</v>
      </c>
      <c r="T72" s="472" t="n">
        <v>0.0976274046231939</v>
      </c>
      <c r="U72" s="472" t="n">
        <v>0.0254630019993741</v>
      </c>
      <c r="V72" s="472" t="n">
        <v>0.043737315055559</v>
      </c>
      <c r="W72" s="472" t="n">
        <v>0.566584448516885</v>
      </c>
      <c r="X72" s="472" t="n">
        <v>0.707763423618784</v>
      </c>
      <c r="Y72" s="472" t="n">
        <v>0.561381963122771</v>
      </c>
      <c r="Z72" s="472" t="n">
        <v>0.561381963122771</v>
      </c>
      <c r="AA72" s="474" t="n">
        <v>0.104509926302852</v>
      </c>
    </row>
    <row r="73" s="475" customFormat="true" ht="12.75" hidden="false" customHeight="true" outlineLevel="0" collapsed="false">
      <c r="A73" s="471" t="s">
        <v>1138</v>
      </c>
      <c r="B73" s="263" t="n">
        <v>1079</v>
      </c>
      <c r="C73" s="472" t="n">
        <v>0.169792884371029</v>
      </c>
      <c r="D73" s="472" t="n">
        <v>0.0478921343112514</v>
      </c>
      <c r="E73" s="472" t="n">
        <v>0.0725619538323914</v>
      </c>
      <c r="F73" s="472" t="n">
        <v>0.224331677637648</v>
      </c>
      <c r="G73" s="473" t="n">
        <v>0.642787035435453</v>
      </c>
      <c r="H73" s="473" t="n">
        <v>0.813594303888037</v>
      </c>
      <c r="I73" s="472" t="n">
        <v>0.0853053593088965</v>
      </c>
      <c r="J73" s="472" t="n">
        <v>0.386026380399123</v>
      </c>
      <c r="K73" s="472" t="n">
        <v>0.057772</v>
      </c>
      <c r="L73" s="472" t="n">
        <v>0.325853075041715</v>
      </c>
      <c r="M73" s="472" t="n">
        <v>0.0715575803687868</v>
      </c>
      <c r="N73" s="473" t="n">
        <v>1.82776197734441</v>
      </c>
      <c r="O73" s="473" t="n">
        <v>0.971487343240161</v>
      </c>
      <c r="P73" s="473" t="n">
        <v>14.4145828448941</v>
      </c>
      <c r="Q73" s="473" t="n">
        <v>19.4447771673551</v>
      </c>
      <c r="R73" s="473" t="n">
        <v>1.87538524122312</v>
      </c>
      <c r="S73" s="473" t="n">
        <v>82.2916933292924</v>
      </c>
      <c r="T73" s="472" t="n">
        <v>0.15972061827941</v>
      </c>
      <c r="U73" s="472" t="n">
        <v>0.02943790125395</v>
      </c>
      <c r="V73" s="472" t="n">
        <v>0.0318278284848393</v>
      </c>
      <c r="W73" s="472" t="n">
        <v>0.997375426514755</v>
      </c>
      <c r="X73" s="472" t="n">
        <v>0.115087426147154</v>
      </c>
      <c r="Y73" s="472" t="n">
        <v>0.508531157874344</v>
      </c>
      <c r="Z73" s="472" t="n">
        <v>0.508531157874344</v>
      </c>
      <c r="AA73" s="474" t="n">
        <v>0.0482794792379243</v>
      </c>
    </row>
    <row r="74" s="475" customFormat="true" ht="12.75" hidden="false" customHeight="true" outlineLevel="0" collapsed="false">
      <c r="A74" s="471" t="s">
        <v>1139</v>
      </c>
      <c r="B74" s="263" t="n">
        <v>252</v>
      </c>
      <c r="C74" s="472" t="n">
        <v>0.0250616751269036</v>
      </c>
      <c r="D74" s="472" t="n">
        <v>0.0647434005504153</v>
      </c>
      <c r="E74" s="472" t="n">
        <v>0.117234501863138</v>
      </c>
      <c r="F74" s="472" t="n">
        <v>0.19146034970179</v>
      </c>
      <c r="G74" s="473" t="n">
        <v>0.937277949106498</v>
      </c>
      <c r="H74" s="473" t="n">
        <v>0.982545804066855</v>
      </c>
      <c r="I74" s="472" t="n">
        <v>0.094817328768964</v>
      </c>
      <c r="J74" s="472" t="n">
        <v>0.36152446234668</v>
      </c>
      <c r="K74" s="472" t="n">
        <v>0.057772</v>
      </c>
      <c r="L74" s="472" t="n">
        <v>0.115392979138007</v>
      </c>
      <c r="M74" s="472" t="n">
        <v>0.0888512711336702</v>
      </c>
      <c r="N74" s="473" t="n">
        <v>2.72551668191395</v>
      </c>
      <c r="O74" s="473" t="n">
        <v>1.93223089617061</v>
      </c>
      <c r="P74" s="473" t="n">
        <v>17.0967356311358</v>
      </c>
      <c r="Q74" s="473" t="n">
        <v>30.6658961999026</v>
      </c>
      <c r="R74" s="473" t="n">
        <v>5.28858051594268</v>
      </c>
      <c r="S74" s="473" t="n">
        <v>66.2457686899828</v>
      </c>
      <c r="T74" s="472" t="n">
        <v>0.0121709657265209</v>
      </c>
      <c r="U74" s="472" t="n">
        <v>0.0681601641999342</v>
      </c>
      <c r="V74" s="472" t="n">
        <v>0.0384042654975855</v>
      </c>
      <c r="W74" s="472" t="n">
        <v>0.774630709509406</v>
      </c>
      <c r="X74" s="472" t="n">
        <v>0.2102987216008</v>
      </c>
      <c r="Y74" s="472" t="n">
        <v>0.156594727014498</v>
      </c>
      <c r="Z74" s="472" t="n">
        <v>0.156594727014498</v>
      </c>
      <c r="AA74" s="474" t="n">
        <v>0.0671899510126612</v>
      </c>
    </row>
    <row r="75" s="475" customFormat="true" ht="12.75" hidden="false" customHeight="true" outlineLevel="0" collapsed="false">
      <c r="A75" s="471" t="s">
        <v>1140</v>
      </c>
      <c r="B75" s="263" t="n">
        <v>215</v>
      </c>
      <c r="C75" s="472" t="n">
        <v>0.0550627380952381</v>
      </c>
      <c r="D75" s="472" t="n">
        <v>0.0377964798918148</v>
      </c>
      <c r="E75" s="472" t="n">
        <v>0.100773969550848</v>
      </c>
      <c r="F75" s="472" t="n">
        <v>0.258314859055711</v>
      </c>
      <c r="G75" s="473" t="n">
        <v>0.690516868486678</v>
      </c>
      <c r="H75" s="473" t="n">
        <v>0.8735269236418</v>
      </c>
      <c r="I75" s="472" t="n">
        <v>0.0886795658010334</v>
      </c>
      <c r="J75" s="472" t="n">
        <v>0.361903914329733</v>
      </c>
      <c r="K75" s="472" t="n">
        <v>0.057772</v>
      </c>
      <c r="L75" s="472" t="n">
        <v>0.31488625409727</v>
      </c>
      <c r="M75" s="472" t="n">
        <v>0.0743319870626689</v>
      </c>
      <c r="N75" s="473" t="n">
        <v>3.49986272355322</v>
      </c>
      <c r="O75" s="473" t="n">
        <v>0.667738081137337</v>
      </c>
      <c r="P75" s="473" t="n">
        <v>10.3428167372521</v>
      </c>
      <c r="Q75" s="473" t="n">
        <v>17.8028409483595</v>
      </c>
      <c r="R75" s="473" t="n">
        <v>2.59486550015178</v>
      </c>
      <c r="S75" s="473" t="n">
        <v>62.9739740952474</v>
      </c>
      <c r="T75" s="472" t="n">
        <v>-0.0262673807609025</v>
      </c>
      <c r="U75" s="472" t="n">
        <v>0.0219181335254086</v>
      </c>
      <c r="V75" s="472" t="n">
        <v>0.00223272456563924</v>
      </c>
      <c r="W75" s="472" t="n">
        <v>0.110006938950863</v>
      </c>
      <c r="X75" s="472" t="n">
        <v>0.109565174853788</v>
      </c>
      <c r="Y75" s="472" t="n">
        <v>0.533812435230943</v>
      </c>
      <c r="Z75" s="472" t="n">
        <v>0.533812435230943</v>
      </c>
      <c r="AA75" s="474" t="n">
        <v>0.0366940287248825</v>
      </c>
    </row>
    <row r="76" s="475" customFormat="true" ht="12.75" hidden="false" customHeight="true" outlineLevel="0" collapsed="false">
      <c r="A76" s="471" t="s">
        <v>1141</v>
      </c>
      <c r="B76" s="263" t="n">
        <v>113</v>
      </c>
      <c r="C76" s="472" t="n">
        <v>0.101164193548387</v>
      </c>
      <c r="D76" s="472" t="n">
        <v>0.500156390975329</v>
      </c>
      <c r="E76" s="472" t="n">
        <v>0.0508836109745845</v>
      </c>
      <c r="F76" s="472" t="n">
        <v>0.0711404920428871</v>
      </c>
      <c r="G76" s="473" t="n">
        <v>0.407310202038958</v>
      </c>
      <c r="H76" s="473" t="n">
        <v>0.607815409336427</v>
      </c>
      <c r="I76" s="472" t="n">
        <v>0.0737200075456409</v>
      </c>
      <c r="J76" s="472" t="n">
        <v>0.178136251448356</v>
      </c>
      <c r="K76" s="472" t="n">
        <v>0.054406</v>
      </c>
      <c r="L76" s="472" t="n">
        <v>0.415657940834357</v>
      </c>
      <c r="M76" s="472" t="n">
        <v>0.0599547425997646</v>
      </c>
      <c r="N76" s="473" t="n">
        <v>0.111034174957182</v>
      </c>
      <c r="O76" s="473" t="n">
        <v>11.5020631547109</v>
      </c>
      <c r="P76" s="473" t="n">
        <v>16.7637915285387</v>
      </c>
      <c r="Q76" s="473" t="n">
        <v>21.1474892643413</v>
      </c>
      <c r="R76" s="473" t="n">
        <v>1.32982431284717</v>
      </c>
      <c r="S76" s="473" t="n">
        <v>106.559900876938</v>
      </c>
      <c r="T76" s="472" t="n">
        <v>0.00155375068930231</v>
      </c>
      <c r="U76" s="472" t="n">
        <v>0.0393275926546685</v>
      </c>
      <c r="V76" s="472" t="n">
        <v>-0.0358732842757343</v>
      </c>
      <c r="W76" s="472" t="n">
        <v>-0.0772686024867053</v>
      </c>
      <c r="X76" s="472" t="n">
        <v>0.0583079641402081</v>
      </c>
      <c r="Y76" s="472" t="n">
        <v>1.19361165174886</v>
      </c>
      <c r="Z76" s="472" t="n">
        <v>1.19361165174886</v>
      </c>
      <c r="AA76" s="474" t="n">
        <v>0.491833010223517</v>
      </c>
    </row>
    <row r="77" s="475" customFormat="true" ht="12.75" hidden="false" customHeight="true" outlineLevel="0" collapsed="false">
      <c r="A77" s="471" t="s">
        <v>684</v>
      </c>
      <c r="B77" s="263" t="n">
        <v>649</v>
      </c>
      <c r="C77" s="472" t="n">
        <v>0.0864061434977579</v>
      </c>
      <c r="D77" s="472" t="n">
        <v>0.074083281782554</v>
      </c>
      <c r="E77" s="472" t="n">
        <v>0.170016094176258</v>
      </c>
      <c r="F77" s="472" t="n">
        <v>0.248451977933912</v>
      </c>
      <c r="G77" s="473" t="n">
        <v>0.903638639203915</v>
      </c>
      <c r="H77" s="473" t="n">
        <v>0.960415930446973</v>
      </c>
      <c r="I77" s="472" t="n">
        <v>0.0935714168841646</v>
      </c>
      <c r="J77" s="472" t="n">
        <v>0.397455585489803</v>
      </c>
      <c r="K77" s="472" t="n">
        <v>0.057772</v>
      </c>
      <c r="L77" s="472" t="n">
        <v>0.15515530845596</v>
      </c>
      <c r="M77" s="472" t="n">
        <v>0.0857428737547527</v>
      </c>
      <c r="N77" s="473" t="n">
        <v>2.72070109106013</v>
      </c>
      <c r="O77" s="473" t="n">
        <v>1.4949799924145</v>
      </c>
      <c r="P77" s="473" t="n">
        <v>13.1097133280231</v>
      </c>
      <c r="Q77" s="473" t="n">
        <v>19.3373957861616</v>
      </c>
      <c r="R77" s="473" t="n">
        <v>4.4095622954924</v>
      </c>
      <c r="S77" s="473" t="n">
        <v>67.3171673491626</v>
      </c>
      <c r="T77" s="472" t="n">
        <v>0.0734551606699835</v>
      </c>
      <c r="U77" s="472" t="n">
        <v>0.025298754013988</v>
      </c>
      <c r="V77" s="472" t="n">
        <v>0.00313258487800554</v>
      </c>
      <c r="W77" s="472" t="n">
        <v>0.194064078454052</v>
      </c>
      <c r="X77" s="472" t="n">
        <v>0.165703950977063</v>
      </c>
      <c r="Y77" s="472" t="n">
        <v>0.382943531678511</v>
      </c>
      <c r="Z77" s="472" t="n">
        <v>0.382943531678511</v>
      </c>
      <c r="AA77" s="474" t="n">
        <v>0.0759514212796816</v>
      </c>
    </row>
    <row r="78" s="475" customFormat="true" ht="12.75" hidden="false" customHeight="true" outlineLevel="0" collapsed="false">
      <c r="A78" s="471" t="s">
        <v>1142</v>
      </c>
      <c r="B78" s="263" t="n">
        <v>91</v>
      </c>
      <c r="C78" s="472" t="n">
        <v>0.0921084810126583</v>
      </c>
      <c r="D78" s="472" t="n">
        <v>0.0730495785754278</v>
      </c>
      <c r="E78" s="472" t="n">
        <v>0.0827626562672393</v>
      </c>
      <c r="F78" s="472" t="n">
        <v>0.281348546812808</v>
      </c>
      <c r="G78" s="473" t="n">
        <v>0.780746741505113</v>
      </c>
      <c r="H78" s="473" t="n">
        <v>0.940759733104069</v>
      </c>
      <c r="I78" s="472" t="n">
        <v>0.0924647729737591</v>
      </c>
      <c r="J78" s="472" t="n">
        <v>0.301311818098797</v>
      </c>
      <c r="K78" s="472" t="n">
        <v>0.057772</v>
      </c>
      <c r="L78" s="472" t="n">
        <v>0.306137039032861</v>
      </c>
      <c r="M78" s="472" t="n">
        <v>0.0773570541736113</v>
      </c>
      <c r="N78" s="473" t="n">
        <v>1.45184952992909</v>
      </c>
      <c r="O78" s="473" t="n">
        <v>0.899084066203083</v>
      </c>
      <c r="P78" s="473" t="n">
        <v>6.81768475964248</v>
      </c>
      <c r="Q78" s="473" t="n">
        <v>12.123346855142</v>
      </c>
      <c r="R78" s="473" t="n">
        <v>1.26540875999134</v>
      </c>
      <c r="S78" s="473" t="n">
        <v>26.6072476839131</v>
      </c>
      <c r="T78" s="472" t="n">
        <v>0.211740003356104</v>
      </c>
      <c r="U78" s="472" t="n">
        <v>0.0634037006589589</v>
      </c>
      <c r="V78" s="472" t="n">
        <v>0.0328572639524376</v>
      </c>
      <c r="W78" s="472" t="n">
        <v>0.891240505016236</v>
      </c>
      <c r="X78" s="472" t="n">
        <v>0.0604943296870346</v>
      </c>
      <c r="Y78" s="472" t="n">
        <v>0.6830483186116</v>
      </c>
      <c r="Z78" s="472" t="n">
        <v>0.6830483186116</v>
      </c>
      <c r="AA78" s="474" t="n">
        <v>0.0796248721760998</v>
      </c>
    </row>
    <row r="79" s="475" customFormat="true" ht="12.75" hidden="false" customHeight="true" outlineLevel="0" collapsed="false">
      <c r="A79" s="471" t="s">
        <v>688</v>
      </c>
      <c r="B79" s="263" t="n">
        <v>675</v>
      </c>
      <c r="C79" s="472" t="n">
        <v>0.0781091386554622</v>
      </c>
      <c r="D79" s="472" t="n">
        <v>0.269903785223369</v>
      </c>
      <c r="E79" s="472" t="n">
        <v>0.205363587860972</v>
      </c>
      <c r="F79" s="472" t="n">
        <v>0.160832273309526</v>
      </c>
      <c r="G79" s="473" t="n">
        <v>1.86889703225494</v>
      </c>
      <c r="H79" s="473" t="n">
        <v>1.87676588865515</v>
      </c>
      <c r="I79" s="472" t="n">
        <v>0.145161919531285</v>
      </c>
      <c r="J79" s="472" t="n">
        <v>0.450812573869375</v>
      </c>
      <c r="K79" s="472" t="n">
        <v>0.060013</v>
      </c>
      <c r="L79" s="472" t="n">
        <v>0.0396186012808726</v>
      </c>
      <c r="M79" s="472" t="n">
        <v>0.141185233424072</v>
      </c>
      <c r="N79" s="473" t="n">
        <v>1.10932755659241</v>
      </c>
      <c r="O79" s="473" t="n">
        <v>10.6218942382915</v>
      </c>
      <c r="P79" s="473" t="n">
        <v>26.9765434766764</v>
      </c>
      <c r="Q79" s="473" t="n">
        <v>38.2425143907322</v>
      </c>
      <c r="R79" s="473" t="n">
        <v>8.97616726426923</v>
      </c>
      <c r="S79" s="473" t="n">
        <v>192.029131519396</v>
      </c>
      <c r="T79" s="472" t="n">
        <v>0.176163473819201</v>
      </c>
      <c r="U79" s="472" t="n">
        <v>0.158833316176465</v>
      </c>
      <c r="V79" s="472" t="n">
        <v>0.0887472110994173</v>
      </c>
      <c r="W79" s="472" t="n">
        <v>0.582766671593287</v>
      </c>
      <c r="X79" s="472" t="n">
        <v>0.239861025090736</v>
      </c>
      <c r="Y79" s="472" t="n">
        <v>0.225921135531293</v>
      </c>
      <c r="Z79" s="472" t="n">
        <v>0.225921135531293</v>
      </c>
      <c r="AA79" s="474" t="n">
        <v>0.280848895590299</v>
      </c>
    </row>
    <row r="80" s="475" customFormat="true" ht="12.75" hidden="false" customHeight="true" outlineLevel="0" collapsed="false">
      <c r="A80" s="471" t="s">
        <v>1143</v>
      </c>
      <c r="B80" s="263" t="n">
        <v>391</v>
      </c>
      <c r="C80" s="472" t="n">
        <v>0.110854056939502</v>
      </c>
      <c r="D80" s="472" t="n">
        <v>0.202799095916354</v>
      </c>
      <c r="E80" s="472" t="n">
        <v>0.171563243909878</v>
      </c>
      <c r="F80" s="472" t="n">
        <v>0.190983397813241</v>
      </c>
      <c r="G80" s="473" t="n">
        <v>2.11725156583713</v>
      </c>
      <c r="H80" s="473" t="n">
        <v>2.12576671026175</v>
      </c>
      <c r="I80" s="472" t="n">
        <v>0.159180665787736</v>
      </c>
      <c r="J80" s="472" t="n">
        <v>0.45989117855202</v>
      </c>
      <c r="K80" s="472" t="n">
        <v>0.060013</v>
      </c>
      <c r="L80" s="472" t="n">
        <v>0.0531117129242103</v>
      </c>
      <c r="M80" s="472" t="n">
        <v>0.153105059529181</v>
      </c>
      <c r="N80" s="473" t="n">
        <v>1.23377548707004</v>
      </c>
      <c r="O80" s="473" t="n">
        <v>6.94007953751328</v>
      </c>
      <c r="P80" s="473" t="n">
        <v>25.6621396021101</v>
      </c>
      <c r="Q80" s="473" t="n">
        <v>32.9972645188554</v>
      </c>
      <c r="R80" s="473" t="n">
        <v>7.1840343028563</v>
      </c>
      <c r="S80" s="473" t="n">
        <v>117.912127154223</v>
      </c>
      <c r="T80" s="472" t="n">
        <v>0.305997755003309</v>
      </c>
      <c r="U80" s="472" t="n">
        <v>0.0852026378537468</v>
      </c>
      <c r="V80" s="472" t="n">
        <v>0.0561823822960954</v>
      </c>
      <c r="W80" s="472" t="n">
        <v>0.489263170113427</v>
      </c>
      <c r="X80" s="472" t="n">
        <v>0.197153127237101</v>
      </c>
      <c r="Y80" s="472" t="n">
        <v>0.311616385154884</v>
      </c>
      <c r="Z80" s="472" t="n">
        <v>0.311616385154884</v>
      </c>
      <c r="AA80" s="474" t="n">
        <v>0.209796486962537</v>
      </c>
    </row>
    <row r="81" s="475" customFormat="true" ht="12.75" hidden="false" customHeight="true" outlineLevel="0" collapsed="false">
      <c r="A81" s="471" t="s">
        <v>1144</v>
      </c>
      <c r="B81" s="263" t="n">
        <v>359</v>
      </c>
      <c r="C81" s="472" t="n">
        <v>0.0974763440860215</v>
      </c>
      <c r="D81" s="472" t="n">
        <v>0.143444912208157</v>
      </c>
      <c r="E81" s="472" t="n">
        <v>0.0884140870634595</v>
      </c>
      <c r="F81" s="472" t="n">
        <v>0.140206023286529</v>
      </c>
      <c r="G81" s="473" t="n">
        <v>0.787124811370075</v>
      </c>
      <c r="H81" s="473" t="n">
        <v>0.87439896476446</v>
      </c>
      <c r="I81" s="472" t="n">
        <v>0.0887286617162391</v>
      </c>
      <c r="J81" s="472" t="n">
        <v>0.337811409268529</v>
      </c>
      <c r="K81" s="472" t="n">
        <v>0.057772</v>
      </c>
      <c r="L81" s="472" t="n">
        <v>0.294255693856783</v>
      </c>
      <c r="M81" s="472" t="n">
        <v>0.0753066537192656</v>
      </c>
      <c r="N81" s="473" t="n">
        <v>0.713655322917271</v>
      </c>
      <c r="O81" s="473" t="n">
        <v>1.61606596945305</v>
      </c>
      <c r="P81" s="473" t="n">
        <v>7.47411615463396</v>
      </c>
      <c r="Q81" s="473" t="n">
        <v>10.9744884365182</v>
      </c>
      <c r="R81" s="473" t="n">
        <v>0.997125640250894</v>
      </c>
      <c r="S81" s="473" t="n">
        <v>21.2493409069551</v>
      </c>
      <c r="T81" s="472" t="n">
        <v>-0.0125550981113033</v>
      </c>
      <c r="U81" s="472" t="n">
        <v>0.115727166836232</v>
      </c>
      <c r="V81" s="472" t="n">
        <v>0.0589267865935251</v>
      </c>
      <c r="W81" s="472" t="n">
        <v>0.476221569654086</v>
      </c>
      <c r="X81" s="472" t="n">
        <v>0.114005814295287</v>
      </c>
      <c r="Y81" s="472" t="n">
        <v>0.558338983231167</v>
      </c>
      <c r="Z81" s="472" t="n">
        <v>0.558338983231167</v>
      </c>
      <c r="AA81" s="474" t="n">
        <v>0.146327469607286</v>
      </c>
    </row>
    <row r="82" s="475" customFormat="true" ht="12.75" hidden="false" customHeight="true" outlineLevel="0" collapsed="false">
      <c r="A82" s="471" t="s">
        <v>690</v>
      </c>
      <c r="B82" s="263" t="n">
        <v>84</v>
      </c>
      <c r="C82" s="472" t="n">
        <v>0.0638377272727273</v>
      </c>
      <c r="D82" s="472" t="n">
        <v>0.0880354082469088</v>
      </c>
      <c r="E82" s="472" t="n">
        <v>0.152917789450813</v>
      </c>
      <c r="F82" s="472" t="n">
        <v>0.214474713102038</v>
      </c>
      <c r="G82" s="473" t="n">
        <v>0.893818704989989</v>
      </c>
      <c r="H82" s="473" t="n">
        <v>0.918373284911281</v>
      </c>
      <c r="I82" s="472" t="n">
        <v>0.0912044159405051</v>
      </c>
      <c r="J82" s="472" t="n">
        <v>0.424222802215977</v>
      </c>
      <c r="K82" s="472" t="n">
        <v>0.057772</v>
      </c>
      <c r="L82" s="472" t="n">
        <v>0.125063570375099</v>
      </c>
      <c r="M82" s="472" t="n">
        <v>0.0851902123512181</v>
      </c>
      <c r="N82" s="473" t="n">
        <v>2.11492402692714</v>
      </c>
      <c r="O82" s="473" t="n">
        <v>1.7476230502879</v>
      </c>
      <c r="P82" s="473" t="n">
        <v>14.6678427701967</v>
      </c>
      <c r="Q82" s="473" t="n">
        <v>19.5663023511696</v>
      </c>
      <c r="R82" s="473" t="n">
        <v>3.65291258671007</v>
      </c>
      <c r="S82" s="473" t="n">
        <v>38.5338010517084</v>
      </c>
      <c r="T82" s="472" t="n">
        <v>0.174957107412978</v>
      </c>
      <c r="U82" s="472" t="n">
        <v>0.0202626968584726</v>
      </c>
      <c r="V82" s="472" t="n">
        <v>0.00335425598020619</v>
      </c>
      <c r="W82" s="472" t="n">
        <v>0.151625139750497</v>
      </c>
      <c r="X82" s="472" t="n">
        <v>0.140022586468622</v>
      </c>
      <c r="Y82" s="472" t="n">
        <v>0.635448023347991</v>
      </c>
      <c r="Z82" s="472" t="n">
        <v>0.635448023347991</v>
      </c>
      <c r="AA82" s="474" t="n">
        <v>0.0890214084678217</v>
      </c>
    </row>
    <row r="83" s="475" customFormat="true" ht="12.75" hidden="false" customHeight="true" outlineLevel="0" collapsed="false">
      <c r="A83" s="471" t="s">
        <v>1145</v>
      </c>
      <c r="B83" s="263" t="n">
        <v>298</v>
      </c>
      <c r="C83" s="472" t="n">
        <v>0.165243</v>
      </c>
      <c r="D83" s="472" t="n">
        <v>0.318952727802569</v>
      </c>
      <c r="E83" s="472" t="n">
        <v>0.228336115233257</v>
      </c>
      <c r="F83" s="472" t="n">
        <v>0.215124233355597</v>
      </c>
      <c r="G83" s="473" t="n">
        <v>1.23463309831149</v>
      </c>
      <c r="H83" s="473" t="n">
        <v>1.24640731607947</v>
      </c>
      <c r="I83" s="472" t="n">
        <v>0.109672731895274</v>
      </c>
      <c r="J83" s="472" t="n">
        <v>0.493074745424041</v>
      </c>
      <c r="K83" s="472" t="n">
        <v>0.060013</v>
      </c>
      <c r="L83" s="472" t="n">
        <v>0.0304157991235826</v>
      </c>
      <c r="M83" s="472" t="n">
        <v>0.10769920185681</v>
      </c>
      <c r="N83" s="473" t="n">
        <v>1.15020243188167</v>
      </c>
      <c r="O83" s="473" t="n">
        <v>8.32899113621351</v>
      </c>
      <c r="P83" s="473" t="n">
        <v>21.4288117410939</v>
      </c>
      <c r="Q83" s="473" t="n">
        <v>26.0667025467348</v>
      </c>
      <c r="R83" s="473" t="n">
        <v>7.29480918204361</v>
      </c>
      <c r="S83" s="473" t="n">
        <v>62.4287304341041</v>
      </c>
      <c r="T83" s="472" t="n">
        <v>0.0372555968313419</v>
      </c>
      <c r="U83" s="472" t="n">
        <v>0.197110975900032</v>
      </c>
      <c r="V83" s="472" t="n">
        <v>0.166266237780673</v>
      </c>
      <c r="W83" s="472" t="n">
        <v>0.709486328043151</v>
      </c>
      <c r="X83" s="472" t="n">
        <v>0.309795722692308</v>
      </c>
      <c r="Y83" s="472" t="n">
        <v>0.103147544117986</v>
      </c>
      <c r="Z83" s="472" t="n">
        <v>0.103147544117986</v>
      </c>
      <c r="AA83" s="474" t="n">
        <v>0.338171357266121</v>
      </c>
    </row>
    <row r="84" s="475" customFormat="true" ht="12.75" hidden="false" customHeight="true" outlineLevel="0" collapsed="false">
      <c r="A84" s="471" t="s">
        <v>1146</v>
      </c>
      <c r="B84" s="263" t="n">
        <v>150</v>
      </c>
      <c r="C84" s="472" t="n">
        <v>0.140739633027523</v>
      </c>
      <c r="D84" s="472" t="n">
        <v>0.0616769875895596</v>
      </c>
      <c r="E84" s="472" t="n">
        <v>0.0578021241322835</v>
      </c>
      <c r="F84" s="472" t="n">
        <v>0.161748293898875</v>
      </c>
      <c r="G84" s="473" t="n">
        <v>1.33704000634219</v>
      </c>
      <c r="H84" s="473" t="n">
        <v>1.39213168861769</v>
      </c>
      <c r="I84" s="472" t="n">
        <v>0.117877014069176</v>
      </c>
      <c r="J84" s="472" t="n">
        <v>0.484863456199203</v>
      </c>
      <c r="K84" s="472" t="n">
        <v>0.060013</v>
      </c>
      <c r="L84" s="472" t="n">
        <v>0.0910123456308521</v>
      </c>
      <c r="M84" s="472" t="n">
        <v>0.111224984328114</v>
      </c>
      <c r="N84" s="473" t="n">
        <v>1.4006430073459</v>
      </c>
      <c r="O84" s="473" t="n">
        <v>7.728498123638</v>
      </c>
      <c r="P84" s="473" t="n">
        <v>40.5507188979471</v>
      </c>
      <c r="Q84" s="473" t="n">
        <v>104.42991508873</v>
      </c>
      <c r="R84" s="473" t="n">
        <v>10.2100945611166</v>
      </c>
      <c r="S84" s="473" t="n">
        <v>99.3926556686061</v>
      </c>
      <c r="T84" s="472" t="n">
        <v>0.0684614289112499</v>
      </c>
      <c r="U84" s="472" t="n">
        <v>0.198776629848601</v>
      </c>
      <c r="V84" s="472" t="n">
        <v>0.152405052452309</v>
      </c>
      <c r="W84" s="472" t="n">
        <v>3.7240900774738</v>
      </c>
      <c r="X84" s="472" t="n">
        <v>0.0599948362183069</v>
      </c>
      <c r="Y84" s="472" t="n">
        <v>0.29906464071376</v>
      </c>
      <c r="Z84" s="472" t="n">
        <v>0.29906464071376</v>
      </c>
      <c r="AA84" s="474" t="n">
        <v>0.0677277871207067</v>
      </c>
    </row>
    <row r="85" s="475" customFormat="true" ht="12.75" hidden="false" customHeight="true" outlineLevel="0" collapsed="false">
      <c r="A85" s="471" t="s">
        <v>1147</v>
      </c>
      <c r="B85" s="263" t="n">
        <v>1532</v>
      </c>
      <c r="C85" s="472" t="n">
        <v>0.148435209903122</v>
      </c>
      <c r="D85" s="472" t="n">
        <v>0.27408873588612</v>
      </c>
      <c r="E85" s="472" t="n">
        <v>0.237245164179666</v>
      </c>
      <c r="F85" s="472" t="n">
        <v>0.186718974493969</v>
      </c>
      <c r="G85" s="473" t="n">
        <v>1.33095025494136</v>
      </c>
      <c r="H85" s="473" t="n">
        <v>1.35395526944513</v>
      </c>
      <c r="I85" s="472" t="n">
        <v>0.115727681669761</v>
      </c>
      <c r="J85" s="472" t="n">
        <v>0.509421191764107</v>
      </c>
      <c r="K85" s="472" t="n">
        <v>0.060013</v>
      </c>
      <c r="L85" s="472" t="n">
        <v>0.0551384314956415</v>
      </c>
      <c r="M85" s="472" t="n">
        <v>0.111816162454924</v>
      </c>
      <c r="N85" s="473" t="n">
        <v>1.54321363099161</v>
      </c>
      <c r="O85" s="473" t="n">
        <v>9.9128027577171</v>
      </c>
      <c r="P85" s="473" t="n">
        <v>24.6394651211071</v>
      </c>
      <c r="Q85" s="473" t="n">
        <v>33.1933962719545</v>
      </c>
      <c r="R85" s="473" t="n">
        <v>8.19814950114427</v>
      </c>
      <c r="S85" s="473" t="n">
        <v>87.9185089477001</v>
      </c>
      <c r="T85" s="472" t="n">
        <v>0.124126262870481</v>
      </c>
      <c r="U85" s="472" t="n">
        <v>0.146993058822544</v>
      </c>
      <c r="V85" s="472" t="n">
        <v>0.149359488704075</v>
      </c>
      <c r="W85" s="472" t="n">
        <v>0.776265116091805</v>
      </c>
      <c r="X85" s="472" t="n">
        <v>0.236723536527074</v>
      </c>
      <c r="Y85" s="472" t="n">
        <v>0.240849518561201</v>
      </c>
      <c r="Z85" s="472" t="n">
        <v>0.240849518561201</v>
      </c>
      <c r="AA85" s="474" t="n">
        <v>0.288902567238884</v>
      </c>
    </row>
    <row r="86" s="475" customFormat="true" ht="12.75" hidden="false" customHeight="true" outlineLevel="0" collapsed="false">
      <c r="A86" s="471" t="s">
        <v>1148</v>
      </c>
      <c r="B86" s="263" t="n">
        <v>719</v>
      </c>
      <c r="C86" s="472" t="n">
        <v>0.113850297202797</v>
      </c>
      <c r="D86" s="472" t="n">
        <v>0.0485084469002893</v>
      </c>
      <c r="E86" s="472" t="n">
        <v>0.0509470635188734</v>
      </c>
      <c r="F86" s="472" t="n">
        <v>0.255040344038877</v>
      </c>
      <c r="G86" s="473" t="n">
        <v>0.929347814691143</v>
      </c>
      <c r="H86" s="473" t="n">
        <v>1.12885823785002</v>
      </c>
      <c r="I86" s="472" t="n">
        <v>0.103054718790956</v>
      </c>
      <c r="J86" s="472" t="n">
        <v>0.376955140881128</v>
      </c>
      <c r="K86" s="472" t="n">
        <v>0.057772</v>
      </c>
      <c r="L86" s="472" t="n">
        <v>0.321277218294919</v>
      </c>
      <c r="M86" s="472" t="n">
        <v>0.0837975309355485</v>
      </c>
      <c r="N86" s="473" t="n">
        <v>1.25964337237104</v>
      </c>
      <c r="O86" s="473" t="n">
        <v>0.949133062766701</v>
      </c>
      <c r="P86" s="473" t="n">
        <v>8.99375202753227</v>
      </c>
      <c r="Q86" s="473" t="n">
        <v>18.3696672139515</v>
      </c>
      <c r="R86" s="473" t="n">
        <v>1.09506139482338</v>
      </c>
      <c r="S86" s="473" t="n">
        <v>42.3755077270578</v>
      </c>
      <c r="T86" s="472" t="n">
        <v>0.141335760541027</v>
      </c>
      <c r="U86" s="472" t="n">
        <v>0.0664767992797252</v>
      </c>
      <c r="V86" s="472" t="n">
        <v>0.0375056147723987</v>
      </c>
      <c r="W86" s="472" t="n">
        <v>0.963659254324872</v>
      </c>
      <c r="X86" s="472" t="n">
        <v>0.0395288559246127</v>
      </c>
      <c r="Y86" s="472" t="n">
        <v>0.871511171294588</v>
      </c>
      <c r="Z86" s="472" t="n">
        <v>0.871511171294588</v>
      </c>
      <c r="AA86" s="474" t="n">
        <v>0.048928943907725</v>
      </c>
    </row>
    <row r="87" s="475" customFormat="true" ht="12.75" hidden="false" customHeight="true" outlineLevel="0" collapsed="false">
      <c r="A87" s="471" t="s">
        <v>1149</v>
      </c>
      <c r="B87" s="263" t="n">
        <v>101</v>
      </c>
      <c r="C87" s="472" t="n">
        <v>0.0495221951219512</v>
      </c>
      <c r="D87" s="472" t="n">
        <v>0.158290975456022</v>
      </c>
      <c r="E87" s="472" t="n">
        <v>0.0929360351465027</v>
      </c>
      <c r="F87" s="472" t="n">
        <v>0.19843744301475</v>
      </c>
      <c r="G87" s="473" t="n">
        <v>0.602842082244072</v>
      </c>
      <c r="H87" s="473" t="n">
        <v>0.782417668371989</v>
      </c>
      <c r="I87" s="472" t="n">
        <v>0.083550114729343</v>
      </c>
      <c r="J87" s="472" t="n">
        <v>0.282647378585439</v>
      </c>
      <c r="K87" s="472" t="n">
        <v>0.054406</v>
      </c>
      <c r="L87" s="472" t="n">
        <v>0.333188945680797</v>
      </c>
      <c r="M87" s="472" t="n">
        <v>0.0692406767574144</v>
      </c>
      <c r="N87" s="473" t="n">
        <v>0.715833525627604</v>
      </c>
      <c r="O87" s="473" t="n">
        <v>2.60718937912954</v>
      </c>
      <c r="P87" s="473" t="n">
        <v>8.4241293928301</v>
      </c>
      <c r="Q87" s="473" t="n">
        <v>16.5246883356161</v>
      </c>
      <c r="R87" s="473" t="n">
        <v>1.84612049517942</v>
      </c>
      <c r="S87" s="473" t="n">
        <v>47.8407763267841</v>
      </c>
      <c r="T87" s="472" t="n">
        <v>-0.134664697853598</v>
      </c>
      <c r="U87" s="472" t="n">
        <v>0.134740690960852</v>
      </c>
      <c r="V87" s="472" t="n">
        <v>0.0332820174515808</v>
      </c>
      <c r="W87" s="472" t="n">
        <v>0.472408823077871</v>
      </c>
      <c r="X87" s="472" t="n">
        <v>0.134528678061445</v>
      </c>
      <c r="Y87" s="472" t="n">
        <v>0.544329536429618</v>
      </c>
      <c r="Z87" s="472" t="n">
        <v>0.544329536429618</v>
      </c>
      <c r="AA87" s="474" t="n">
        <v>0.160583384592341</v>
      </c>
    </row>
    <row r="88" s="475" customFormat="true" ht="12.75" hidden="false" customHeight="true" outlineLevel="0" collapsed="false">
      <c r="A88" s="471" t="s">
        <v>123</v>
      </c>
      <c r="B88" s="263" t="n">
        <v>437</v>
      </c>
      <c r="C88" s="472" t="n">
        <v>0.0515224795640327</v>
      </c>
      <c r="D88" s="472" t="n">
        <v>0.11027127992171</v>
      </c>
      <c r="E88" s="472" t="n">
        <v>0.127280864040357</v>
      </c>
      <c r="F88" s="472" t="n">
        <v>0.176451469912111</v>
      </c>
      <c r="G88" s="473" t="n">
        <v>1.29793213071035</v>
      </c>
      <c r="H88" s="473" t="n">
        <v>1.32791850959809</v>
      </c>
      <c r="I88" s="472" t="n">
        <v>0.114261812090372</v>
      </c>
      <c r="J88" s="472" t="n">
        <v>0.469655698445692</v>
      </c>
      <c r="K88" s="472" t="n">
        <v>0.060013</v>
      </c>
      <c r="L88" s="472" t="n">
        <v>0.0877988007829483</v>
      </c>
      <c r="M88" s="472" t="n">
        <v>0.108162068530195</v>
      </c>
      <c r="N88" s="473" t="n">
        <v>2.05073789724783</v>
      </c>
      <c r="O88" s="473" t="n">
        <v>4.10600073558616</v>
      </c>
      <c r="P88" s="473" t="n">
        <v>24.9509752094902</v>
      </c>
      <c r="Q88" s="473" t="n">
        <v>34.4339381098651</v>
      </c>
      <c r="R88" s="473" t="n">
        <v>5.88911968408835</v>
      </c>
      <c r="S88" s="473" t="n">
        <v>125.451027675653</v>
      </c>
      <c r="T88" s="472" t="n">
        <v>0.211300324593896</v>
      </c>
      <c r="U88" s="472" t="n">
        <v>0.031177646831363</v>
      </c>
      <c r="V88" s="472" t="n">
        <v>0.0418617735436088</v>
      </c>
      <c r="W88" s="472" t="n">
        <v>0.54163443956988</v>
      </c>
      <c r="X88" s="472" t="n">
        <v>0.14062262992428</v>
      </c>
      <c r="Y88" s="472" t="n">
        <v>0.495160441313158</v>
      </c>
      <c r="Z88" s="472" t="n">
        <v>0.495160441313158</v>
      </c>
      <c r="AA88" s="474" t="n">
        <v>0.117884567036838</v>
      </c>
    </row>
    <row r="89" s="475" customFormat="true" ht="12.75" hidden="false" customHeight="true" outlineLevel="0" collapsed="false">
      <c r="A89" s="471" t="s">
        <v>693</v>
      </c>
      <c r="B89" s="263" t="n">
        <v>283</v>
      </c>
      <c r="C89" s="472" t="n">
        <v>0.0727616355140187</v>
      </c>
      <c r="D89" s="472" t="n">
        <v>0.160926188698461</v>
      </c>
      <c r="E89" s="472" t="n">
        <v>0.0987270863692802</v>
      </c>
      <c r="F89" s="472" t="n">
        <v>0.220168887475502</v>
      </c>
      <c r="G89" s="473" t="n">
        <v>0.496255716820467</v>
      </c>
      <c r="H89" s="473" t="n">
        <v>0.728977776374134</v>
      </c>
      <c r="I89" s="472" t="n">
        <v>0.0805414488098637</v>
      </c>
      <c r="J89" s="472" t="n">
        <v>0.375266074985442</v>
      </c>
      <c r="K89" s="472" t="n">
        <v>0.057772</v>
      </c>
      <c r="L89" s="472" t="n">
        <v>0.422569178392238</v>
      </c>
      <c r="M89" s="472" t="n">
        <v>0.0647262880239923</v>
      </c>
      <c r="N89" s="473" t="n">
        <v>0.725835336068849</v>
      </c>
      <c r="O89" s="473" t="n">
        <v>2.26300778444587</v>
      </c>
      <c r="P89" s="473" t="n">
        <v>7.05408622283339</v>
      </c>
      <c r="Q89" s="473" t="n">
        <v>13.7047259174046</v>
      </c>
      <c r="R89" s="473" t="n">
        <v>1.62214274683067</v>
      </c>
      <c r="S89" s="473" t="n">
        <v>46.1055358015731</v>
      </c>
      <c r="T89" s="472" t="n">
        <v>0.00771725206106053</v>
      </c>
      <c r="U89" s="472" t="n">
        <v>0.139959515489868</v>
      </c>
      <c r="V89" s="472" t="n">
        <v>-0.0122035965388983</v>
      </c>
      <c r="W89" s="472" t="n">
        <v>-0.0514487196195326</v>
      </c>
      <c r="X89" s="472" t="n">
        <v>0.127925284135993</v>
      </c>
      <c r="Y89" s="472" t="n">
        <v>0.595465880282376</v>
      </c>
      <c r="Z89" s="472" t="n">
        <v>0.595465880282376</v>
      </c>
      <c r="AA89" s="474" t="n">
        <v>0.163082410953308</v>
      </c>
    </row>
    <row r="90" s="475" customFormat="true" ht="12.75" hidden="false" customHeight="true" outlineLevel="0" collapsed="false">
      <c r="A90" s="471" t="s">
        <v>697</v>
      </c>
      <c r="B90" s="263" t="n">
        <v>48</v>
      </c>
      <c r="C90" s="472" t="n">
        <v>0.198231707317073</v>
      </c>
      <c r="D90" s="472" t="n">
        <v>0.326687016716397</v>
      </c>
      <c r="E90" s="472" t="n">
        <v>0.241671334099614</v>
      </c>
      <c r="F90" s="472" t="n">
        <v>0.220655346796718</v>
      </c>
      <c r="G90" s="473" t="n">
        <v>0.374313965044762</v>
      </c>
      <c r="H90" s="473" t="n">
        <v>0.427279864326707</v>
      </c>
      <c r="I90" s="472" t="n">
        <v>0.0635558563615936</v>
      </c>
      <c r="J90" s="472" t="n">
        <v>0.404958621969188</v>
      </c>
      <c r="K90" s="472" t="n">
        <v>0.057772</v>
      </c>
      <c r="L90" s="472" t="n">
        <v>0.191344230047201</v>
      </c>
      <c r="M90" s="472" t="n">
        <v>0.0596446630510335</v>
      </c>
      <c r="N90" s="473" t="n">
        <v>0.956682813675064</v>
      </c>
      <c r="O90" s="473" t="n">
        <v>4.44677662747896</v>
      </c>
      <c r="P90" s="473" t="n">
        <v>11.996607921625</v>
      </c>
      <c r="Q90" s="473" t="n">
        <v>13.5739419840982</v>
      </c>
      <c r="R90" s="473" t="n">
        <v>5.63339874607488</v>
      </c>
      <c r="S90" s="473" t="n">
        <v>20.5382955431927</v>
      </c>
      <c r="T90" s="472" t="n">
        <v>0.161614386253622</v>
      </c>
      <c r="U90" s="472" t="n">
        <v>0.0255753736789707</v>
      </c>
      <c r="V90" s="472" t="n">
        <v>-0.00121182399240462</v>
      </c>
      <c r="W90" s="472" t="n">
        <v>0.0809992964013516</v>
      </c>
      <c r="X90" s="472" t="n">
        <v>0.286369968543621</v>
      </c>
      <c r="Y90" s="472" t="n">
        <v>0.89955741381705</v>
      </c>
      <c r="Z90" s="472" t="n">
        <v>0.89955741381705</v>
      </c>
      <c r="AA90" s="474" t="n">
        <v>0.327370404704401</v>
      </c>
    </row>
    <row r="91" s="475" customFormat="true" ht="12.75" hidden="false" customHeight="true" outlineLevel="0" collapsed="false">
      <c r="A91" s="471" t="s">
        <v>821</v>
      </c>
      <c r="B91" s="263" t="n">
        <v>451</v>
      </c>
      <c r="C91" s="472" t="n">
        <v>0.0842071337579618</v>
      </c>
      <c r="D91" s="472" t="n">
        <v>0.0721405850998059</v>
      </c>
      <c r="E91" s="472" t="n">
        <v>0.086620383576458</v>
      </c>
      <c r="F91" s="472" t="n">
        <v>0.210765194118547</v>
      </c>
      <c r="G91" s="473" t="n">
        <v>0.747463096765446</v>
      </c>
      <c r="H91" s="473" t="n">
        <v>0.963862739373964</v>
      </c>
      <c r="I91" s="472" t="n">
        <v>0.0937654722267542</v>
      </c>
      <c r="J91" s="472" t="n">
        <v>0.368592369907853</v>
      </c>
      <c r="K91" s="472" t="n">
        <v>0.057772</v>
      </c>
      <c r="L91" s="472" t="n">
        <v>0.348406128007225</v>
      </c>
      <c r="M91" s="472" t="n">
        <v>0.076118622188226</v>
      </c>
      <c r="N91" s="473" t="n">
        <v>1.47504203793349</v>
      </c>
      <c r="O91" s="473" t="n">
        <v>1.318488523602</v>
      </c>
      <c r="P91" s="473" t="n">
        <v>11.1838533241064</v>
      </c>
      <c r="Q91" s="473" t="n">
        <v>17.9356037914395</v>
      </c>
      <c r="R91" s="473" t="n">
        <v>2.08101297455198</v>
      </c>
      <c r="S91" s="473" t="n">
        <v>66.7924385276733</v>
      </c>
      <c r="T91" s="472" t="n">
        <v>0.0482445500062112</v>
      </c>
      <c r="U91" s="472" t="n">
        <v>0.0431242108611351</v>
      </c>
      <c r="V91" s="472" t="n">
        <v>0.0235988954031317</v>
      </c>
      <c r="W91" s="472" t="n">
        <v>0.507917276737906</v>
      </c>
      <c r="X91" s="472" t="n">
        <v>0.14032746783149</v>
      </c>
      <c r="Y91" s="472" t="n">
        <v>0.470999939063584</v>
      </c>
      <c r="Z91" s="472" t="n">
        <v>0.470999939063584</v>
      </c>
      <c r="AA91" s="474" t="n">
        <v>0.0730776402065104</v>
      </c>
    </row>
    <row r="92" s="475" customFormat="true" ht="12.75" hidden="false" customHeight="true" outlineLevel="0" collapsed="false">
      <c r="A92" s="471" t="s">
        <v>1150</v>
      </c>
      <c r="B92" s="263" t="n">
        <v>54</v>
      </c>
      <c r="C92" s="472" t="n">
        <v>0.0666508695652174</v>
      </c>
      <c r="D92" s="472" t="n">
        <v>0.234523458897213</v>
      </c>
      <c r="E92" s="472" t="n">
        <v>0.0778672810557345</v>
      </c>
      <c r="F92" s="472" t="n">
        <v>0.247014774680374</v>
      </c>
      <c r="G92" s="473" t="n">
        <v>0.554360170344284</v>
      </c>
      <c r="H92" s="473" t="n">
        <v>0.719978931739368</v>
      </c>
      <c r="I92" s="472" t="n">
        <v>0.0800348138569264</v>
      </c>
      <c r="J92" s="472" t="n">
        <v>0.228801223387306</v>
      </c>
      <c r="K92" s="472" t="n">
        <v>0.054406</v>
      </c>
      <c r="L92" s="472" t="n">
        <v>0.32176392572745</v>
      </c>
      <c r="M92" s="472" t="n">
        <v>0.0673471422766722</v>
      </c>
      <c r="N92" s="473" t="n">
        <v>0.434711523713422</v>
      </c>
      <c r="O92" s="473" t="n">
        <v>3.77796352334556</v>
      </c>
      <c r="P92" s="473" t="n">
        <v>10.9353321357487</v>
      </c>
      <c r="Q92" s="473" t="n">
        <v>15.8958169028788</v>
      </c>
      <c r="R92" s="473" t="n">
        <v>1.90979961849405</v>
      </c>
      <c r="S92" s="473" t="n">
        <v>39.7985976614837</v>
      </c>
      <c r="T92" s="472" t="n">
        <v>0.0726319159148274</v>
      </c>
      <c r="U92" s="472" t="n">
        <v>0.178268512365072</v>
      </c>
      <c r="V92" s="472" t="n">
        <v>0.111062437067021</v>
      </c>
      <c r="W92" s="472" t="n">
        <v>0.678458310675625</v>
      </c>
      <c r="X92" s="472" t="n">
        <v>0.123069545266731</v>
      </c>
      <c r="Y92" s="472" t="n">
        <v>0.391311166955554</v>
      </c>
      <c r="Z92" s="472" t="n">
        <v>0.391311166955554</v>
      </c>
      <c r="AA92" s="474" t="n">
        <v>0.236482406260752</v>
      </c>
    </row>
    <row r="93" s="475" customFormat="true" ht="12.75" hidden="false" customHeight="true" outlineLevel="0" collapsed="false">
      <c r="A93" s="471" t="s">
        <v>1151</v>
      </c>
      <c r="B93" s="263" t="n">
        <v>130</v>
      </c>
      <c r="C93" s="472" t="n">
        <v>0.0789090697674419</v>
      </c>
      <c r="D93" s="472" t="n">
        <v>0.0744527796994002</v>
      </c>
      <c r="E93" s="472" t="n">
        <v>0.0843547507610505</v>
      </c>
      <c r="F93" s="472" t="n">
        <v>0.261015707753867</v>
      </c>
      <c r="G93" s="473" t="n">
        <v>0.677246379488718</v>
      </c>
      <c r="H93" s="473" t="n">
        <v>0.849780782102148</v>
      </c>
      <c r="I93" s="472" t="n">
        <v>0.0873426580323509</v>
      </c>
      <c r="J93" s="472" t="n">
        <v>0.383285226128572</v>
      </c>
      <c r="K93" s="472" t="n">
        <v>0.057772</v>
      </c>
      <c r="L93" s="472" t="n">
        <v>0.285073489435431</v>
      </c>
      <c r="M93" s="472" t="n">
        <v>0.0747345946714137</v>
      </c>
      <c r="N93" s="473" t="n">
        <v>1.36900687201987</v>
      </c>
      <c r="O93" s="473" t="n">
        <v>1.50569269801898</v>
      </c>
      <c r="P93" s="473" t="n">
        <v>9.61210647258121</v>
      </c>
      <c r="Q93" s="473" t="n">
        <v>19.4254307330924</v>
      </c>
      <c r="R93" s="473" t="n">
        <v>2.3734388878078</v>
      </c>
      <c r="S93" s="473" t="n">
        <v>29.3008915622354</v>
      </c>
      <c r="T93" s="472" t="n">
        <v>0.0699665095249114</v>
      </c>
      <c r="U93" s="472" t="n">
        <v>0.0969759458450692</v>
      </c>
      <c r="V93" s="472" t="n">
        <v>0.0371128369652332</v>
      </c>
      <c r="W93" s="472" t="n">
        <v>0.687038105427344</v>
      </c>
      <c r="X93" s="472" t="n">
        <v>0.0719965889131391</v>
      </c>
      <c r="Y93" s="472" t="n">
        <v>0.376071189293373</v>
      </c>
      <c r="Z93" s="472" t="n">
        <v>0.376071189293373</v>
      </c>
      <c r="AA93" s="474" t="n">
        <v>0.0773676154325956</v>
      </c>
    </row>
    <row r="94" s="475" customFormat="true" ht="12.75" hidden="false" customHeight="true" outlineLevel="0" collapsed="false">
      <c r="A94" s="471" t="s">
        <v>1152</v>
      </c>
      <c r="B94" s="263" t="n">
        <v>52</v>
      </c>
      <c r="C94" s="472" t="n">
        <v>0.0753478260869565</v>
      </c>
      <c r="D94" s="472" t="n">
        <v>0.152240626198682</v>
      </c>
      <c r="E94" s="472" t="n">
        <v>0.0799133728230514</v>
      </c>
      <c r="F94" s="472" t="n">
        <v>0.207155670112189</v>
      </c>
      <c r="G94" s="473" t="n">
        <v>0.334380618512405</v>
      </c>
      <c r="H94" s="473" t="n">
        <v>0.503859118747523</v>
      </c>
      <c r="I94" s="472" t="n">
        <v>0.0678672683854855</v>
      </c>
      <c r="J94" s="472" t="n">
        <v>0.207331226199585</v>
      </c>
      <c r="K94" s="472" t="n">
        <v>0.054406</v>
      </c>
      <c r="L94" s="472" t="n">
        <v>0.432553921463835</v>
      </c>
      <c r="M94" s="472" t="n">
        <v>0.056074087738667</v>
      </c>
      <c r="N94" s="473" t="n">
        <v>0.647788200877786</v>
      </c>
      <c r="O94" s="473" t="n">
        <v>2.54379132105459</v>
      </c>
      <c r="P94" s="473" t="n">
        <v>10.7966571617525</v>
      </c>
      <c r="Q94" s="473" t="n">
        <v>16.7732271555235</v>
      </c>
      <c r="R94" s="473" t="n">
        <v>1.72083818828414</v>
      </c>
      <c r="S94" s="473" t="n">
        <v>27.2555344099612</v>
      </c>
      <c r="T94" s="472" t="n">
        <v>0.0219629981258608</v>
      </c>
      <c r="U94" s="472" t="n">
        <v>0.209018521330315</v>
      </c>
      <c r="V94" s="472" t="n">
        <v>0.129072712855883</v>
      </c>
      <c r="W94" s="472" t="n">
        <v>1.04604067204554</v>
      </c>
      <c r="X94" s="472" t="n">
        <v>0.105525937864477</v>
      </c>
      <c r="Y94" s="472" t="n">
        <v>0.683047535101088</v>
      </c>
      <c r="Z94" s="472" t="n">
        <v>0.683047535101088</v>
      </c>
      <c r="AA94" s="474" t="n">
        <v>0.151741016556417</v>
      </c>
    </row>
    <row r="95" s="475" customFormat="true" ht="12.75" hidden="false" customHeight="true" outlineLevel="0" collapsed="false">
      <c r="A95" s="471" t="s">
        <v>1153</v>
      </c>
      <c r="B95" s="263" t="n">
        <v>106</v>
      </c>
      <c r="C95" s="472" t="n">
        <v>0.0605929069767442</v>
      </c>
      <c r="D95" s="472" t="n">
        <v>0.265956575361905</v>
      </c>
      <c r="E95" s="472" t="n">
        <v>0.0653038033003068</v>
      </c>
      <c r="F95" s="472" t="n">
        <v>0.211340518436547</v>
      </c>
      <c r="G95" s="473" t="n">
        <v>0.445338530487763</v>
      </c>
      <c r="H95" s="473" t="n">
        <v>0.704595910645127</v>
      </c>
      <c r="I95" s="472" t="n">
        <v>0.0791687497693206</v>
      </c>
      <c r="J95" s="472" t="n">
        <v>0.334893403266531</v>
      </c>
      <c r="K95" s="472" t="n">
        <v>0.057772</v>
      </c>
      <c r="L95" s="472" t="n">
        <v>0.477184037774947</v>
      </c>
      <c r="M95" s="472" t="n">
        <v>0.0619645921195003</v>
      </c>
      <c r="N95" s="473" t="n">
        <v>0.293065721739486</v>
      </c>
      <c r="O95" s="473" t="n">
        <v>4.76255811058923</v>
      </c>
      <c r="P95" s="473" t="n">
        <v>11.8938666587241</v>
      </c>
      <c r="Q95" s="473" t="n">
        <v>17.6738067821888</v>
      </c>
      <c r="R95" s="473" t="n">
        <v>1.45973694052591</v>
      </c>
      <c r="S95" s="473" t="n">
        <v>30.5135582604795</v>
      </c>
      <c r="T95" s="472" t="n">
        <v>0.15374932035646</v>
      </c>
      <c r="U95" s="472" t="n">
        <v>0.252034745131679</v>
      </c>
      <c r="V95" s="472" t="n">
        <v>0.154182737612151</v>
      </c>
      <c r="W95" s="472" t="n">
        <v>0.983185346532007</v>
      </c>
      <c r="X95" s="472" t="n">
        <v>0.118588401437598</v>
      </c>
      <c r="Y95" s="472" t="n">
        <v>0.687001562818373</v>
      </c>
      <c r="Z95" s="472" t="n">
        <v>0.58874374230461</v>
      </c>
      <c r="AA95" s="474" t="n">
        <v>0.266315257990112</v>
      </c>
    </row>
    <row r="96" customFormat="false" ht="13.5" hidden="false" customHeight="true" outlineLevel="0" collapsed="false">
      <c r="A96" s="471" t="s">
        <v>1154</v>
      </c>
      <c r="B96" s="263" t="n">
        <v>48156</v>
      </c>
      <c r="C96" s="472" t="n">
        <v>0.118134105149441</v>
      </c>
      <c r="D96" s="472" t="n">
        <v>0.105601863679593</v>
      </c>
      <c r="E96" s="472" t="n">
        <v>0.067388302060607</v>
      </c>
      <c r="F96" s="472" t="n">
        <v>0.217723380437758</v>
      </c>
      <c r="G96" s="473" t="n">
        <v>0.832316434580108</v>
      </c>
      <c r="H96" s="473" t="n">
        <v>1.0402864076511</v>
      </c>
      <c r="I96" s="472" t="n">
        <v>0.0980681247507571</v>
      </c>
      <c r="J96" s="472" t="n">
        <v>0.420660197867336</v>
      </c>
      <c r="K96" s="472" t="n">
        <v>0.057772</v>
      </c>
      <c r="L96" s="472" t="n">
        <v>0.339841000537671</v>
      </c>
      <c r="M96" s="472" t="n">
        <v>0.0793928826380561</v>
      </c>
      <c r="N96" s="473" t="n">
        <v>0.761485067385421</v>
      </c>
      <c r="O96" s="473" t="n">
        <v>2.81710818827903</v>
      </c>
      <c r="P96" s="473" t="n">
        <v>14.735093271132</v>
      </c>
      <c r="Q96" s="473" t="n">
        <v>21.7113502381083</v>
      </c>
      <c r="R96" s="473" t="n">
        <v>2.47542917598436</v>
      </c>
      <c r="S96" s="473" t="n">
        <v>70.4668565519723</v>
      </c>
      <c r="T96" s="472" t="n">
        <v>-1.2516555572973</v>
      </c>
      <c r="U96" s="472" t="n">
        <v>0.0634755323295852</v>
      </c>
      <c r="V96" s="472" t="n">
        <v>0.0374686051204729</v>
      </c>
      <c r="W96" s="472" t="n">
        <v>0.50716098765285</v>
      </c>
      <c r="X96" s="472" t="n">
        <v>0.118588401437598</v>
      </c>
      <c r="Y96" s="472" t="n">
        <v>0.58874374230461</v>
      </c>
      <c r="Z96" s="472" t="n">
        <v>0.58874374230461</v>
      </c>
      <c r="AA96" s="474" t="n">
        <v>0.107094461186492</v>
      </c>
    </row>
    <row r="97" customFormat="false" ht="13.5" hidden="false" customHeight="true" outlineLevel="0" collapsed="false">
      <c r="A97" s="471" t="s">
        <v>1155</v>
      </c>
      <c r="B97" s="263" t="n">
        <v>43056</v>
      </c>
      <c r="C97" s="472" t="n">
        <v>0.113444418393475</v>
      </c>
      <c r="D97" s="472" t="n">
        <v>0.107476623362833</v>
      </c>
      <c r="E97" s="472" t="n">
        <v>0.106230427369305</v>
      </c>
      <c r="F97" s="472" t="n">
        <v>0.226704827316441</v>
      </c>
      <c r="G97" s="473" t="n">
        <v>0.95536367797099</v>
      </c>
      <c r="H97" s="473" t="n">
        <v>1.07744301001177</v>
      </c>
      <c r="I97" s="472" t="n">
        <v>0.100160041463662</v>
      </c>
      <c r="J97" s="472" t="n">
        <v>0.430245199075031</v>
      </c>
      <c r="K97" s="472" t="n">
        <v>0.057772</v>
      </c>
      <c r="L97" s="472" t="n">
        <v>0.206029524893999</v>
      </c>
      <c r="M97" s="472" t="n">
        <v>0.0884071288621378</v>
      </c>
      <c r="N97" s="473" t="n">
        <v>1.22143052394539</v>
      </c>
      <c r="O97" s="473" t="n">
        <v>2.33039405405412</v>
      </c>
      <c r="P97" s="473" t="n">
        <v>13.6972485293243</v>
      </c>
      <c r="Q97" s="473" t="n">
        <v>20.826400832535</v>
      </c>
      <c r="R97" s="473" t="n">
        <v>2.92242126232488</v>
      </c>
      <c r="S97" s="473" t="n">
        <v>74.1062694164758</v>
      </c>
      <c r="T97" s="472" t="n">
        <v>0.116571116799484</v>
      </c>
      <c r="U97" s="472" t="n">
        <v>0.0687274514334822</v>
      </c>
      <c r="V97" s="472" t="n">
        <v>0.0386857092798444</v>
      </c>
      <c r="W97" s="472" t="n">
        <v>0.543938093315698</v>
      </c>
      <c r="X97" s="472" t="n">
        <v>0.115194746325106</v>
      </c>
      <c r="Y97" s="472" t="n">
        <v>0.690523669428444</v>
      </c>
      <c r="Z97" s="472" t="n">
        <v>0.690523669428444</v>
      </c>
      <c r="AA97" s="474" t="n">
        <v>0.109137986010688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69" activeCellId="0" sqref="D69"/>
    </sheetView>
  </sheetViews>
  <sheetFormatPr defaultColWidth="10.73046875" defaultRowHeight="12.75" customHeight="false" zeroHeight="false" outlineLevelRow="0" outlineLevelCol="0"/>
  <cols>
    <col collapsed="false" customWidth="true" hidden="false" outlineLevel="0" max="1" min="1" style="98" width="41"/>
    <col collapsed="false" customWidth="true" hidden="false" outlineLevel="0" max="2" min="2" style="348" width="10.84"/>
    <col collapsed="false" customWidth="true" hidden="false" outlineLevel="0" max="8" min="3" style="432" width="14.82"/>
    <col collapsed="false" customWidth="true" hidden="false" outlineLevel="0" max="11" min="9" style="476" width="14.82"/>
    <col collapsed="false" customWidth="true" hidden="false" outlineLevel="0" max="14" min="12" style="432" width="14.82"/>
    <col collapsed="false" customWidth="true" hidden="false" outlineLevel="0" max="17" min="15" style="476" width="14.82"/>
    <col collapsed="false" customWidth="true" hidden="false" outlineLevel="0" max="20" min="18" style="432" width="14.82"/>
  </cols>
  <sheetData>
    <row r="1" s="190" customFormat="true" ht="15.75" hidden="false" customHeight="true" outlineLevel="0" collapsed="false">
      <c r="A1" s="477"/>
      <c r="B1" s="478"/>
      <c r="C1" s="479" t="s">
        <v>1156</v>
      </c>
      <c r="D1" s="479"/>
      <c r="E1" s="479"/>
      <c r="F1" s="479" t="s">
        <v>1157</v>
      </c>
      <c r="G1" s="479"/>
      <c r="H1" s="479"/>
      <c r="I1" s="480" t="s">
        <v>1158</v>
      </c>
      <c r="J1" s="480"/>
      <c r="K1" s="480"/>
      <c r="L1" s="479" t="s">
        <v>430</v>
      </c>
      <c r="M1" s="479"/>
      <c r="N1" s="479"/>
      <c r="O1" s="481"/>
      <c r="P1" s="481" t="s">
        <v>1159</v>
      </c>
      <c r="Q1" s="481"/>
      <c r="R1" s="479" t="s">
        <v>1160</v>
      </c>
      <c r="S1" s="479"/>
      <c r="T1" s="479"/>
    </row>
    <row r="2" customFormat="false" ht="16.5" hidden="false" customHeight="true" outlineLevel="0" collapsed="false">
      <c r="A2" s="482" t="s">
        <v>1161</v>
      </c>
      <c r="B2" s="483" t="s">
        <v>1162</v>
      </c>
      <c r="C2" s="484" t="s">
        <v>1163</v>
      </c>
      <c r="D2" s="484" t="s">
        <v>271</v>
      </c>
      <c r="E2" s="484" t="s">
        <v>803</v>
      </c>
      <c r="F2" s="484" t="s">
        <v>1163</v>
      </c>
      <c r="G2" s="484" t="s">
        <v>271</v>
      </c>
      <c r="H2" s="484" t="s">
        <v>803</v>
      </c>
      <c r="I2" s="485" t="s">
        <v>1163</v>
      </c>
      <c r="J2" s="485" t="s">
        <v>271</v>
      </c>
      <c r="K2" s="485" t="s">
        <v>803</v>
      </c>
      <c r="L2" s="484" t="s">
        <v>1163</v>
      </c>
      <c r="M2" s="484" t="s">
        <v>271</v>
      </c>
      <c r="N2" s="484" t="s">
        <v>803</v>
      </c>
      <c r="O2" s="485" t="s">
        <v>1163</v>
      </c>
      <c r="P2" s="485" t="s">
        <v>271</v>
      </c>
      <c r="Q2" s="485" t="s">
        <v>803</v>
      </c>
      <c r="R2" s="484" t="s">
        <v>1163</v>
      </c>
      <c r="S2" s="484" t="s">
        <v>271</v>
      </c>
      <c r="T2" s="484" t="s">
        <v>803</v>
      </c>
    </row>
    <row r="3" customFormat="false" ht="12.75" hidden="false" customHeight="true" outlineLevel="0" collapsed="false">
      <c r="A3" s="486" t="s">
        <v>605</v>
      </c>
      <c r="B3" s="487" t="n">
        <v>419</v>
      </c>
      <c r="C3" s="432" t="n">
        <v>0.0105</v>
      </c>
      <c r="D3" s="432" t="n">
        <v>0.0593</v>
      </c>
      <c r="E3" s="432" t="n">
        <v>0.158</v>
      </c>
      <c r="F3" s="432" t="n">
        <v>-0.065516190285665</v>
      </c>
      <c r="G3" s="432" t="n">
        <v>0.0369515011547344</v>
      </c>
      <c r="H3" s="432" t="n">
        <v>0.0977776658266287</v>
      </c>
      <c r="I3" s="476" t="n">
        <v>0.963855421686747</v>
      </c>
      <c r="J3" s="476" t="n">
        <v>2.4075500770416</v>
      </c>
      <c r="K3" s="476" t="n">
        <v>6.02985074626866</v>
      </c>
      <c r="L3" s="432" t="n">
        <v>0.0876836837020227</v>
      </c>
      <c r="M3" s="432" t="n">
        <v>0.0931268646055217</v>
      </c>
      <c r="N3" s="432" t="n">
        <v>0.0950257010192511</v>
      </c>
      <c r="O3" s="476" t="n">
        <v>0.560035798951724</v>
      </c>
      <c r="P3" s="476" t="n">
        <v>1.13804370824361</v>
      </c>
      <c r="Q3" s="476" t="n">
        <v>1.83482426257541</v>
      </c>
      <c r="R3" s="432" t="n">
        <v>0.0161058842289906</v>
      </c>
      <c r="S3" s="432" t="n">
        <v>0.115678776290631</v>
      </c>
      <c r="T3" s="432" t="n">
        <v>0.347222222222222</v>
      </c>
      <c r="U3" s="427"/>
      <c r="V3" s="427"/>
    </row>
    <row r="4" customFormat="false" ht="12.75" hidden="false" customHeight="true" outlineLevel="0" collapsed="false">
      <c r="A4" s="486" t="s">
        <v>606</v>
      </c>
      <c r="B4" s="487" t="n">
        <v>319</v>
      </c>
      <c r="C4" s="432" t="n">
        <v>0.0798</v>
      </c>
      <c r="D4" s="432" t="n">
        <v>0.143</v>
      </c>
      <c r="E4" s="432" t="n">
        <v>0.284</v>
      </c>
      <c r="F4" s="432" t="n">
        <v>-0.0289828431372549</v>
      </c>
      <c r="G4" s="432" t="n">
        <v>0.0711711711711712</v>
      </c>
      <c r="H4" s="432" t="n">
        <v>0.143</v>
      </c>
      <c r="I4" s="476" t="n">
        <v>0.521966416218542</v>
      </c>
      <c r="J4" s="476" t="n">
        <v>1.18958199356913</v>
      </c>
      <c r="K4" s="476" t="n">
        <v>2.201332153011</v>
      </c>
      <c r="L4" s="432" t="n">
        <v>0.0905362627648575</v>
      </c>
      <c r="M4" s="432" t="n">
        <v>0.0961287377087589</v>
      </c>
      <c r="N4" s="432" t="n">
        <v>0.0993547129582124</v>
      </c>
      <c r="O4" s="476" t="n">
        <v>0.759299205434865</v>
      </c>
      <c r="P4" s="476" t="n">
        <v>1.17041082523372</v>
      </c>
      <c r="Q4" s="476" t="n">
        <v>1.67067746850186</v>
      </c>
      <c r="R4" s="432" t="n">
        <v>0.0070339270621236</v>
      </c>
      <c r="S4" s="432" t="n">
        <v>0.0529127023869137</v>
      </c>
      <c r="T4" s="432" t="n">
        <v>0.15941130400731</v>
      </c>
      <c r="U4" s="427"/>
      <c r="V4" s="427"/>
    </row>
    <row r="5" customFormat="false" ht="12.75" hidden="false" customHeight="true" outlineLevel="0" collapsed="false">
      <c r="A5" s="486" t="s">
        <v>607</v>
      </c>
      <c r="B5" s="487" t="n">
        <v>150</v>
      </c>
      <c r="C5" s="432" t="n">
        <v>0.0354</v>
      </c>
      <c r="D5" s="432" t="n">
        <v>0.0633</v>
      </c>
      <c r="E5" s="432" t="n">
        <v>0.104</v>
      </c>
      <c r="F5" s="432" t="n">
        <v>0.0168812700158017</v>
      </c>
      <c r="G5" s="432" t="n">
        <v>0.0896104746317512</v>
      </c>
      <c r="H5" s="432" t="n">
        <v>0.17780673989946</v>
      </c>
      <c r="I5" s="476" t="n">
        <v>0.664901059547993</v>
      </c>
      <c r="J5" s="476" t="n">
        <v>1.02072269308304</v>
      </c>
      <c r="K5" s="476" t="n">
        <v>2.04793781286831</v>
      </c>
      <c r="L5" s="432" t="n">
        <v>0.0684892835633074</v>
      </c>
      <c r="M5" s="432" t="n">
        <v>0.0730082649179414</v>
      </c>
      <c r="N5" s="432" t="n">
        <v>0.0845133177672769</v>
      </c>
      <c r="O5" s="476" t="n">
        <v>0.560725703296042</v>
      </c>
      <c r="P5" s="476" t="n">
        <v>0.987990600673934</v>
      </c>
      <c r="Q5" s="476" t="n">
        <v>1.33453668976657</v>
      </c>
      <c r="R5" s="432" t="n">
        <v>0.144498913428008</v>
      </c>
      <c r="S5" s="432" t="n">
        <v>0.401885250685811</v>
      </c>
      <c r="T5" s="432" t="n">
        <v>0.614622322033294</v>
      </c>
      <c r="U5" s="427"/>
      <c r="V5" s="427"/>
    </row>
    <row r="6" customFormat="false" ht="12.75" hidden="false" customHeight="true" outlineLevel="0" collapsed="false">
      <c r="A6" s="486" t="s">
        <v>609</v>
      </c>
      <c r="B6" s="487" t="n">
        <v>1207</v>
      </c>
      <c r="C6" s="432" t="n">
        <v>0.0239</v>
      </c>
      <c r="D6" s="432" t="n">
        <v>0.0653</v>
      </c>
      <c r="E6" s="432" t="n">
        <v>0.118</v>
      </c>
      <c r="F6" s="432" t="n">
        <v>-0.0162715517241379</v>
      </c>
      <c r="G6" s="432" t="n">
        <v>0.0396672504378284</v>
      </c>
      <c r="H6" s="432" t="n">
        <v>0.0861044379820458</v>
      </c>
      <c r="I6" s="476" t="n">
        <v>0.584731007672432</v>
      </c>
      <c r="J6" s="476" t="n">
        <v>1.20386007237636</v>
      </c>
      <c r="K6" s="476" t="n">
        <v>2.04108681245858</v>
      </c>
      <c r="L6" s="432" t="n">
        <v>0.0746400246225034</v>
      </c>
      <c r="M6" s="432" t="n">
        <v>0.0854130220672294</v>
      </c>
      <c r="N6" s="432" t="n">
        <v>0.0894275862510649</v>
      </c>
      <c r="O6" s="476" t="n">
        <v>0.198811400188588</v>
      </c>
      <c r="P6" s="476" t="n">
        <v>0.715478384668157</v>
      </c>
      <c r="Q6" s="476" t="n">
        <v>1.25472189407042</v>
      </c>
      <c r="R6" s="432" t="n">
        <v>0.0320993727708769</v>
      </c>
      <c r="S6" s="432" t="n">
        <v>0.1884765625</v>
      </c>
      <c r="T6" s="432" t="n">
        <v>0.466818354190368</v>
      </c>
      <c r="U6" s="427"/>
      <c r="V6" s="427"/>
    </row>
    <row r="7" customFormat="false" ht="12.75" hidden="false" customHeight="true" outlineLevel="0" collapsed="false">
      <c r="A7" s="486" t="s">
        <v>610</v>
      </c>
      <c r="B7" s="487" t="n">
        <v>165</v>
      </c>
      <c r="C7" s="432" t="n">
        <v>0.0159</v>
      </c>
      <c r="D7" s="432" t="n">
        <v>0.0669</v>
      </c>
      <c r="E7" s="432" t="n">
        <v>0.186</v>
      </c>
      <c r="F7" s="432" t="n">
        <v>-0.222835159424212</v>
      </c>
      <c r="G7" s="432" t="n">
        <v>0.0188118811881188</v>
      </c>
      <c r="H7" s="432" t="n">
        <v>0.0678195509918504</v>
      </c>
      <c r="I7" s="476" t="n">
        <v>0.632654506817779</v>
      </c>
      <c r="J7" s="476" t="n">
        <v>1.48013743726352</v>
      </c>
      <c r="K7" s="476" t="n">
        <v>2.73719165085389</v>
      </c>
      <c r="L7" s="432" t="n">
        <v>0.0908436890757099</v>
      </c>
      <c r="M7" s="432" t="n">
        <v>0.0972854063602101</v>
      </c>
      <c r="N7" s="432" t="n">
        <v>0.114519449618028</v>
      </c>
      <c r="O7" s="476" t="n">
        <v>0.885813388299878</v>
      </c>
      <c r="P7" s="476" t="n">
        <v>1.40026533721694</v>
      </c>
      <c r="Q7" s="476" t="n">
        <v>1.86090991467655</v>
      </c>
      <c r="R7" s="432" t="n">
        <v>0.0138260690789474</v>
      </c>
      <c r="S7" s="432" t="n">
        <v>0.151636084005091</v>
      </c>
      <c r="T7" s="432" t="n">
        <v>0.479806558771219</v>
      </c>
      <c r="U7" s="427"/>
      <c r="V7" s="427"/>
    </row>
    <row r="8" customFormat="false" ht="12.75" hidden="false" customHeight="true" outlineLevel="0" collapsed="false">
      <c r="A8" s="486" t="s">
        <v>1091</v>
      </c>
      <c r="B8" s="487" t="n">
        <v>797</v>
      </c>
      <c r="C8" s="432" t="n">
        <v>0.0177</v>
      </c>
      <c r="D8" s="432" t="n">
        <v>0.0726</v>
      </c>
      <c r="E8" s="432" t="n">
        <v>0.176</v>
      </c>
      <c r="F8" s="432" t="n">
        <v>0.0201653944020356</v>
      </c>
      <c r="G8" s="432" t="n">
        <v>0.0507467971415696</v>
      </c>
      <c r="H8" s="432" t="n">
        <v>0.0906200147623617</v>
      </c>
      <c r="I8" s="476" t="n">
        <v>0.982575201760822</v>
      </c>
      <c r="J8" s="476" t="n">
        <v>1.53615702479339</v>
      </c>
      <c r="K8" s="476" t="n">
        <v>2.27192086446965</v>
      </c>
      <c r="L8" s="432" t="n">
        <v>0.100845157591156</v>
      </c>
      <c r="M8" s="432" t="n">
        <v>0.10706322519716</v>
      </c>
      <c r="N8" s="432" t="n">
        <v>0.113711359927435</v>
      </c>
      <c r="O8" s="476" t="n">
        <v>0.809210216275557</v>
      </c>
      <c r="P8" s="476" t="n">
        <v>1.34079340847539</v>
      </c>
      <c r="Q8" s="476" t="n">
        <v>2.07689755405817</v>
      </c>
      <c r="R8" s="432" t="n">
        <v>0.0329866908362353</v>
      </c>
      <c r="S8" s="432" t="n">
        <v>0.137952784059929</v>
      </c>
      <c r="T8" s="432" t="n">
        <v>0.406160004561439</v>
      </c>
      <c r="U8" s="427"/>
      <c r="V8" s="427"/>
    </row>
    <row r="9" customFormat="false" ht="12.75" hidden="false" customHeight="true" outlineLevel="0" collapsed="false">
      <c r="A9" s="486" t="s">
        <v>1092</v>
      </c>
      <c r="B9" s="487" t="n">
        <v>604</v>
      </c>
      <c r="C9" s="432" t="n">
        <v>0.0282</v>
      </c>
      <c r="D9" s="432" t="n">
        <v>0.0558</v>
      </c>
      <c r="E9" s="432" t="n">
        <v>0.11</v>
      </c>
      <c r="F9" s="432" t="n">
        <v>0</v>
      </c>
      <c r="G9" s="432" t="n">
        <v>0</v>
      </c>
      <c r="H9" s="432" t="n">
        <v>0</v>
      </c>
      <c r="I9" s="476" t="n">
        <v>0.150790214332107</v>
      </c>
      <c r="J9" s="476" t="n">
        <v>0.283418301218353</v>
      </c>
      <c r="K9" s="476" t="n">
        <v>0.537263075175318</v>
      </c>
      <c r="L9" s="432" t="n">
        <v>0.0575007909740911</v>
      </c>
      <c r="M9" s="432" t="n">
        <v>0.0646321227495079</v>
      </c>
      <c r="N9" s="432" t="n">
        <v>0.0826529480660194</v>
      </c>
      <c r="O9" s="476" t="n">
        <v>0.233663464479157</v>
      </c>
      <c r="P9" s="476" t="n">
        <v>0.647772599705046</v>
      </c>
      <c r="Q9" s="476" t="n">
        <v>1.13912723168962</v>
      </c>
      <c r="R9" s="432" t="n">
        <v>0.168629330612112</v>
      </c>
      <c r="S9" s="432" t="n">
        <v>0.422665828355863</v>
      </c>
      <c r="T9" s="432" t="n">
        <v>0.631666666666667</v>
      </c>
      <c r="U9" s="427"/>
      <c r="V9" s="427"/>
    </row>
    <row r="10" customFormat="false" ht="12.75" hidden="false" customHeight="true" outlineLevel="0" collapsed="false">
      <c r="A10" s="486" t="s">
        <v>1094</v>
      </c>
      <c r="B10" s="487" t="n">
        <v>825</v>
      </c>
      <c r="C10" s="432" t="n">
        <v>0.0537</v>
      </c>
      <c r="D10" s="432" t="n">
        <v>0.095</v>
      </c>
      <c r="E10" s="432" t="n">
        <v>0.161</v>
      </c>
      <c r="F10" s="432" t="n">
        <v>-0.000107684679206509</v>
      </c>
      <c r="G10" s="432" t="n">
        <v>0</v>
      </c>
      <c r="H10" s="432" t="n">
        <v>0.000912162565055971</v>
      </c>
      <c r="I10" s="476" t="n">
        <v>0.179580674567001</v>
      </c>
      <c r="J10" s="476" t="n">
        <v>0.329301900551843</v>
      </c>
      <c r="K10" s="476" t="n">
        <v>0.59921304103429</v>
      </c>
      <c r="L10" s="432" t="n">
        <v>0.0505145820261365</v>
      </c>
      <c r="M10" s="432" t="n">
        <v>0.0517552625792059</v>
      </c>
      <c r="N10" s="432" t="n">
        <v>0.052807512942792</v>
      </c>
      <c r="O10" s="476" t="n">
        <v>0.124095693117831</v>
      </c>
      <c r="P10" s="476" t="n">
        <v>0.504034598037049</v>
      </c>
      <c r="Q10" s="476" t="n">
        <v>0.759985320595988</v>
      </c>
      <c r="R10" s="432" t="n">
        <v>0.0872415532022189</v>
      </c>
      <c r="S10" s="432" t="n">
        <v>0.281517573697235</v>
      </c>
      <c r="T10" s="432" t="n">
        <v>0.566447499501893</v>
      </c>
      <c r="U10" s="427"/>
      <c r="V10" s="427"/>
    </row>
    <row r="11" customFormat="false" ht="12.75" hidden="false" customHeight="true" outlineLevel="0" collapsed="false">
      <c r="A11" s="486" t="s">
        <v>617</v>
      </c>
      <c r="B11" s="487" t="n">
        <v>217</v>
      </c>
      <c r="C11" s="432" t="n">
        <v>-0.0113</v>
      </c>
      <c r="D11" s="432" t="n">
        <v>0.0232</v>
      </c>
      <c r="E11" s="432" t="n">
        <v>0.0573</v>
      </c>
      <c r="F11" s="432" t="n">
        <v>0.0168752897542884</v>
      </c>
      <c r="G11" s="432" t="n">
        <v>0.0976744186046512</v>
      </c>
      <c r="H11" s="432" t="n">
        <v>0.168635875402793</v>
      </c>
      <c r="I11" s="476" t="n">
        <v>0.472209991195912</v>
      </c>
      <c r="J11" s="476" t="n">
        <v>1.05840739004323</v>
      </c>
      <c r="K11" s="476" t="n">
        <v>2.12442631310556</v>
      </c>
      <c r="L11" s="432" t="n">
        <v>0.0717417105340139</v>
      </c>
      <c r="M11" s="432" t="n">
        <v>0.0765760614864681</v>
      </c>
      <c r="N11" s="432" t="n">
        <v>0.0886993387857248</v>
      </c>
      <c r="O11" s="476" t="n">
        <v>0.179589237767578</v>
      </c>
      <c r="P11" s="476" t="n">
        <v>0.63178585076084</v>
      </c>
      <c r="Q11" s="476" t="n">
        <v>1.27444364239594</v>
      </c>
      <c r="R11" s="432" t="n">
        <v>0.00932127321687496</v>
      </c>
      <c r="S11" s="432" t="n">
        <v>0.0829034635224761</v>
      </c>
      <c r="T11" s="432" t="n">
        <v>0.312947002206221</v>
      </c>
      <c r="U11" s="427"/>
      <c r="V11" s="427"/>
    </row>
    <row r="12" customFormat="false" ht="12.75" hidden="false" customHeight="true" outlineLevel="0" collapsed="false">
      <c r="A12" s="486" t="s">
        <v>1095</v>
      </c>
      <c r="B12" s="487" t="n">
        <v>94</v>
      </c>
      <c r="C12" s="432" t="n">
        <v>0.0266</v>
      </c>
      <c r="D12" s="432" t="n">
        <v>0.055</v>
      </c>
      <c r="E12" s="432" t="n">
        <v>0.122</v>
      </c>
      <c r="F12" s="432" t="n">
        <v>0.00952380952380953</v>
      </c>
      <c r="G12" s="432" t="n">
        <v>0.0958299919807538</v>
      </c>
      <c r="H12" s="432" t="n">
        <v>0.155299452106556</v>
      </c>
      <c r="I12" s="476" t="n">
        <v>0.960725411659991</v>
      </c>
      <c r="J12" s="476" t="n">
        <v>1.63915329648106</v>
      </c>
      <c r="K12" s="476" t="n">
        <v>2.50662151102185</v>
      </c>
      <c r="L12" s="432" t="n">
        <v>0.0636739477759688</v>
      </c>
      <c r="M12" s="432" t="n">
        <v>0.066612756225533</v>
      </c>
      <c r="N12" s="432" t="n">
        <v>0.0742771725134272</v>
      </c>
      <c r="O12" s="476" t="n">
        <v>0.160636256199973</v>
      </c>
      <c r="P12" s="476" t="n">
        <v>0.433963012164818</v>
      </c>
      <c r="Q12" s="476" t="n">
        <v>0.869538969675535</v>
      </c>
      <c r="R12" s="432" t="n">
        <v>0.00539824355657413</v>
      </c>
      <c r="S12" s="432" t="n">
        <v>0.0701307115019483</v>
      </c>
      <c r="T12" s="432" t="n">
        <v>0.221863567893264</v>
      </c>
      <c r="U12" s="427"/>
      <c r="V12" s="427"/>
    </row>
    <row r="13" customFormat="false" ht="12.75" hidden="false" customHeight="true" outlineLevel="0" collapsed="false">
      <c r="A13" s="486" t="s">
        <v>1096</v>
      </c>
      <c r="B13" s="487" t="n">
        <v>127</v>
      </c>
      <c r="C13" s="432" t="n">
        <v>-0.019</v>
      </c>
      <c r="D13" s="432" t="n">
        <v>0.0131</v>
      </c>
      <c r="E13" s="432" t="n">
        <v>0.0356</v>
      </c>
      <c r="F13" s="432" t="n">
        <v>-0.056</v>
      </c>
      <c r="G13" s="432" t="n">
        <v>0.0591439688715953</v>
      </c>
      <c r="H13" s="432" t="n">
        <v>0.115538566946738</v>
      </c>
      <c r="I13" s="476" t="n">
        <v>0.514874818612668</v>
      </c>
      <c r="J13" s="476" t="n">
        <v>0.803490908557729</v>
      </c>
      <c r="K13" s="476" t="n">
        <v>1.52229545686387</v>
      </c>
      <c r="L13" s="432" t="n">
        <v>0.0686902917226083</v>
      </c>
      <c r="M13" s="432" t="n">
        <v>0.0730343001778739</v>
      </c>
      <c r="N13" s="432" t="n">
        <v>0.0843306111529373</v>
      </c>
      <c r="O13" s="476" t="n">
        <v>0.410671624430518</v>
      </c>
      <c r="P13" s="476" t="n">
        <v>0.748094207290935</v>
      </c>
      <c r="Q13" s="476" t="n">
        <v>1.1761603407661</v>
      </c>
      <c r="R13" s="432" t="n">
        <v>0.0438750730356833</v>
      </c>
      <c r="S13" s="432" t="n">
        <v>0.223948220064725</v>
      </c>
      <c r="T13" s="432" t="n">
        <v>0.560702875399361</v>
      </c>
      <c r="U13" s="427"/>
      <c r="V13" s="427"/>
    </row>
    <row r="14" customFormat="false" ht="12.75" hidden="false" customHeight="true" outlineLevel="0" collapsed="false">
      <c r="A14" s="486" t="s">
        <v>1097</v>
      </c>
      <c r="B14" s="487" t="n">
        <v>623</v>
      </c>
      <c r="C14" s="432" t="n">
        <v>0.0321</v>
      </c>
      <c r="D14" s="432" t="n">
        <v>0.0922</v>
      </c>
      <c r="E14" s="432" t="n">
        <v>0.146</v>
      </c>
      <c r="F14" s="432" t="n">
        <v>0</v>
      </c>
      <c r="G14" s="432" t="n">
        <v>0</v>
      </c>
      <c r="H14" s="432" t="n">
        <v>0.000254437172003066</v>
      </c>
      <c r="I14" s="476" t="n">
        <v>0.091779728651237</v>
      </c>
      <c r="J14" s="476" t="n">
        <v>0.2388704205079</v>
      </c>
      <c r="K14" s="476" t="n">
        <v>0.920792079207921</v>
      </c>
      <c r="L14" s="432" t="n">
        <v>0.0625579802366314</v>
      </c>
      <c r="M14" s="432" t="n">
        <v>0.0714149644418142</v>
      </c>
      <c r="N14" s="432" t="n">
        <v>0.0737194195269866</v>
      </c>
      <c r="O14" s="476" t="n">
        <v>0.270680401022587</v>
      </c>
      <c r="P14" s="476" t="n">
        <v>0.857858363405392</v>
      </c>
      <c r="Q14" s="476" t="n">
        <v>1.67375551892645</v>
      </c>
      <c r="R14" s="432" t="n">
        <v>0.00752789509814188</v>
      </c>
      <c r="S14" s="432" t="n">
        <v>0.159268929503916</v>
      </c>
      <c r="T14" s="432" t="n">
        <v>0.521596396689415</v>
      </c>
      <c r="U14" s="427"/>
      <c r="V14" s="427"/>
    </row>
    <row r="15" customFormat="false" ht="12.75" hidden="false" customHeight="true" outlineLevel="0" collapsed="false">
      <c r="A15" s="486" t="s">
        <v>619</v>
      </c>
      <c r="B15" s="487" t="n">
        <v>469</v>
      </c>
      <c r="C15" s="432" t="n">
        <v>0.0171</v>
      </c>
      <c r="D15" s="432" t="n">
        <v>0.051</v>
      </c>
      <c r="E15" s="432" t="n">
        <v>0.0936</v>
      </c>
      <c r="F15" s="432" t="n">
        <v>0.00879425837320574</v>
      </c>
      <c r="G15" s="432" t="n">
        <v>0.0614507772020725</v>
      </c>
      <c r="H15" s="432" t="n">
        <v>0.117288020656246</v>
      </c>
      <c r="I15" s="476" t="n">
        <v>0.770340145625945</v>
      </c>
      <c r="J15" s="476" t="n">
        <v>1.26898673332052</v>
      </c>
      <c r="K15" s="476" t="n">
        <v>2.11142416314483</v>
      </c>
      <c r="L15" s="432" t="n">
        <v>0.0804564576284706</v>
      </c>
      <c r="M15" s="432" t="n">
        <v>0.0853321945780107</v>
      </c>
      <c r="N15" s="432" t="n">
        <v>0.0995443798325054</v>
      </c>
      <c r="O15" s="476" t="n">
        <v>0.428005450273838</v>
      </c>
      <c r="P15" s="476" t="n">
        <v>0.92780570558494</v>
      </c>
      <c r="Q15" s="476" t="n">
        <v>1.54388697355975</v>
      </c>
      <c r="R15" s="432" t="n">
        <v>0.0416011923112252</v>
      </c>
      <c r="S15" s="432" t="n">
        <v>0.157284299858557</v>
      </c>
      <c r="T15" s="432" t="n">
        <v>0.37375</v>
      </c>
      <c r="U15" s="427"/>
      <c r="V15" s="427"/>
    </row>
    <row r="16" customFormat="false" ht="12.75" hidden="false" customHeight="true" outlineLevel="0" collapsed="false">
      <c r="A16" s="486" t="s">
        <v>1098</v>
      </c>
      <c r="B16" s="487" t="n">
        <v>994</v>
      </c>
      <c r="C16" s="432" t="n">
        <v>0.0231</v>
      </c>
      <c r="D16" s="432" t="n">
        <v>0.0681</v>
      </c>
      <c r="E16" s="432" t="n">
        <v>0.133</v>
      </c>
      <c r="F16" s="432" t="n">
        <v>-0.00377733598409543</v>
      </c>
      <c r="G16" s="432" t="n">
        <v>0.0596205962059621</v>
      </c>
      <c r="H16" s="432" t="n">
        <v>0.134735202492212</v>
      </c>
      <c r="I16" s="476" t="n">
        <v>0.835077229696064</v>
      </c>
      <c r="J16" s="476" t="n">
        <v>2.32966799216278</v>
      </c>
      <c r="K16" s="476" t="n">
        <v>5.23251431076021</v>
      </c>
      <c r="L16" s="432" t="n">
        <v>0.0782427971886094</v>
      </c>
      <c r="M16" s="432" t="n">
        <v>0.0832218090110316</v>
      </c>
      <c r="N16" s="432" t="n">
        <v>0.0853121306013554</v>
      </c>
      <c r="O16" s="476" t="n">
        <v>0.418377205375018</v>
      </c>
      <c r="P16" s="476" t="n">
        <v>0.874013645031535</v>
      </c>
      <c r="Q16" s="476" t="n">
        <v>1.47165789547515</v>
      </c>
      <c r="R16" s="432" t="n">
        <v>0.0158019161378624</v>
      </c>
      <c r="S16" s="432" t="n">
        <v>0.115646258503401</v>
      </c>
      <c r="T16" s="432" t="n">
        <v>0.298914212493005</v>
      </c>
      <c r="U16" s="427"/>
      <c r="V16" s="427"/>
    </row>
    <row r="17" customFormat="false" ht="12.75" hidden="false" customHeight="true" outlineLevel="0" collapsed="false">
      <c r="A17" s="486" t="s">
        <v>620</v>
      </c>
      <c r="B17" s="487" t="n">
        <v>42</v>
      </c>
      <c r="C17" s="432" t="n">
        <v>-0.00849</v>
      </c>
      <c r="D17" s="432" t="n">
        <v>0.0152</v>
      </c>
      <c r="E17" s="432" t="n">
        <v>0.0439</v>
      </c>
      <c r="F17" s="432" t="n">
        <v>-0.0801136363636364</v>
      </c>
      <c r="G17" s="432" t="n">
        <v>0.0190798081116441</v>
      </c>
      <c r="H17" s="432" t="n">
        <v>0.175529000427394</v>
      </c>
      <c r="I17" s="476" t="n">
        <v>0.269712301953688</v>
      </c>
      <c r="J17" s="476" t="n">
        <v>0.491731731353035</v>
      </c>
      <c r="K17" s="476" t="n">
        <v>0.980684566525985</v>
      </c>
      <c r="L17" s="432" t="n">
        <v>0.0658493933133286</v>
      </c>
      <c r="M17" s="432" t="n">
        <v>0.0697134472005042</v>
      </c>
      <c r="N17" s="432" t="n">
        <v>0.0811427572811336</v>
      </c>
      <c r="O17" s="476" t="n">
        <v>0.487503434429464</v>
      </c>
      <c r="P17" s="476" t="n">
        <v>0.881174376329461</v>
      </c>
      <c r="Q17" s="476" t="n">
        <v>1.61840982625762</v>
      </c>
      <c r="R17" s="432" t="n">
        <v>0.0199041900006747</v>
      </c>
      <c r="S17" s="432" t="n">
        <v>0.231628219823151</v>
      </c>
      <c r="T17" s="432" t="n">
        <v>0.665465088942873</v>
      </c>
      <c r="U17" s="427"/>
      <c r="V17" s="427"/>
    </row>
    <row r="18" customFormat="false" ht="12.75" hidden="false" customHeight="true" outlineLevel="0" collapsed="false">
      <c r="A18" s="486" t="s">
        <v>623</v>
      </c>
      <c r="B18" s="487" t="n">
        <v>909</v>
      </c>
      <c r="C18" s="432" t="n">
        <v>0.0187</v>
      </c>
      <c r="D18" s="432" t="n">
        <v>0.0807</v>
      </c>
      <c r="E18" s="432" t="n">
        <v>0.162</v>
      </c>
      <c r="F18" s="432" t="n">
        <v>0</v>
      </c>
      <c r="G18" s="432" t="n">
        <v>0.0492082825822168</v>
      </c>
      <c r="H18" s="432" t="n">
        <v>0.104191616766467</v>
      </c>
      <c r="I18" s="476" t="n">
        <v>0.671296296296296</v>
      </c>
      <c r="J18" s="476" t="n">
        <v>1.07731305449937</v>
      </c>
      <c r="K18" s="476" t="n">
        <v>1.70637438707817</v>
      </c>
      <c r="L18" s="432" t="n">
        <v>0.0867625906385944</v>
      </c>
      <c r="M18" s="432" t="n">
        <v>0.0902060644138432</v>
      </c>
      <c r="N18" s="432" t="n">
        <v>0.105696695132534</v>
      </c>
      <c r="O18" s="476" t="n">
        <v>0.607662988514671</v>
      </c>
      <c r="P18" s="476" t="n">
        <v>1.19182600813356</v>
      </c>
      <c r="Q18" s="476" t="n">
        <v>1.8029579497538</v>
      </c>
      <c r="R18" s="432" t="n">
        <v>0.0282965119959486</v>
      </c>
      <c r="S18" s="432" t="n">
        <v>0.16036036036036</v>
      </c>
      <c r="T18" s="432" t="n">
        <v>0.369565217391304</v>
      </c>
      <c r="U18" s="427"/>
      <c r="V18" s="427"/>
    </row>
    <row r="19" customFormat="false" ht="12.75" hidden="false" customHeight="true" outlineLevel="0" collapsed="false">
      <c r="A19" s="486" t="s">
        <v>624</v>
      </c>
      <c r="B19" s="487" t="n">
        <v>63</v>
      </c>
      <c r="C19" s="432" t="n">
        <v>-0.00896</v>
      </c>
      <c r="D19" s="432" t="n">
        <v>0.0326</v>
      </c>
      <c r="E19" s="432" t="n">
        <v>0.0792</v>
      </c>
      <c r="F19" s="432" t="n">
        <v>0.0386228027737462</v>
      </c>
      <c r="G19" s="432" t="n">
        <v>0.0784929356357928</v>
      </c>
      <c r="H19" s="432" t="n">
        <v>0.112975018925057</v>
      </c>
      <c r="I19" s="476" t="n">
        <v>0.80184254403594</v>
      </c>
      <c r="J19" s="476" t="n">
        <v>1.13011152416357</v>
      </c>
      <c r="K19" s="476" t="n">
        <v>1.71940562575462</v>
      </c>
      <c r="L19" s="432" t="n">
        <v>0.079321673053177</v>
      </c>
      <c r="M19" s="432" t="n">
        <v>0.0839292671853341</v>
      </c>
      <c r="N19" s="432" t="n">
        <v>0.100895522270496</v>
      </c>
      <c r="O19" s="476" t="n">
        <v>0.682957721265285</v>
      </c>
      <c r="P19" s="476" t="n">
        <v>1.14178981463403</v>
      </c>
      <c r="Q19" s="476" t="n">
        <v>1.52796655715609</v>
      </c>
      <c r="R19" s="432" t="n">
        <v>0.0991344442646821</v>
      </c>
      <c r="S19" s="432" t="n">
        <v>0.274650646143408</v>
      </c>
      <c r="T19" s="432" t="n">
        <v>0.46966496260932</v>
      </c>
      <c r="U19" s="427"/>
      <c r="V19" s="427"/>
    </row>
    <row r="20" customFormat="false" ht="12.75" hidden="false" customHeight="true" outlineLevel="0" collapsed="false">
      <c r="A20" s="486" t="s">
        <v>625</v>
      </c>
      <c r="B20" s="487" t="n">
        <v>952</v>
      </c>
      <c r="C20" s="432" t="n">
        <v>0.0259</v>
      </c>
      <c r="D20" s="432" t="n">
        <v>0.0861</v>
      </c>
      <c r="E20" s="432" t="n">
        <v>0.156</v>
      </c>
      <c r="F20" s="432" t="n">
        <v>0.00890360559234731</v>
      </c>
      <c r="G20" s="432" t="n">
        <v>0.0667535004884402</v>
      </c>
      <c r="H20" s="432" t="n">
        <v>0.1267217630854</v>
      </c>
      <c r="I20" s="476" t="n">
        <v>0.600926337711924</v>
      </c>
      <c r="J20" s="476" t="n">
        <v>1.0355276907001</v>
      </c>
      <c r="K20" s="476" t="n">
        <v>1.62786973273921</v>
      </c>
      <c r="L20" s="432" t="n">
        <v>0.0881001258218031</v>
      </c>
      <c r="M20" s="432" t="n">
        <v>0.0921013690043658</v>
      </c>
      <c r="N20" s="432" t="n">
        <v>0.10934011807819</v>
      </c>
      <c r="O20" s="476" t="n">
        <v>0.54070363112675</v>
      </c>
      <c r="P20" s="476" t="n">
        <v>1.08086599930218</v>
      </c>
      <c r="Q20" s="476" t="n">
        <v>1.68303354286728</v>
      </c>
      <c r="R20" s="432" t="n">
        <v>0.0194548481065335</v>
      </c>
      <c r="S20" s="432" t="n">
        <v>0.132222222222222</v>
      </c>
      <c r="T20" s="432" t="n">
        <v>0.297849039169048</v>
      </c>
      <c r="U20" s="427"/>
      <c r="V20" s="427"/>
    </row>
    <row r="21" customFormat="false" ht="12.75" hidden="false" customHeight="true" outlineLevel="0" collapsed="false">
      <c r="A21" s="486" t="s">
        <v>1099</v>
      </c>
      <c r="B21" s="487" t="n">
        <v>212</v>
      </c>
      <c r="C21" s="432" t="n">
        <v>-0.0435</v>
      </c>
      <c r="D21" s="432" t="n">
        <v>0.0066</v>
      </c>
      <c r="E21" s="432" t="n">
        <v>0.126</v>
      </c>
      <c r="F21" s="432" t="n">
        <v>-0.218235294117647</v>
      </c>
      <c r="G21" s="432" t="n">
        <v>0.0325663716814159</v>
      </c>
      <c r="H21" s="432" t="n">
        <v>0.134739387426115</v>
      </c>
      <c r="I21" s="476" t="n">
        <v>0</v>
      </c>
      <c r="J21" s="476" t="n">
        <v>0.508214381901427</v>
      </c>
      <c r="K21" s="476" t="n">
        <v>1.35682980277575</v>
      </c>
      <c r="L21" s="432" t="n">
        <v>0.0874260903958858</v>
      </c>
      <c r="M21" s="432" t="n">
        <v>0.090206144015764</v>
      </c>
      <c r="N21" s="432" t="n">
        <v>0.111003144220357</v>
      </c>
      <c r="O21" s="476" t="n">
        <v>0.398217545501589</v>
      </c>
      <c r="P21" s="476" t="n">
        <v>1.05262750079508</v>
      </c>
      <c r="Q21" s="476" t="n">
        <v>1.70737051335824</v>
      </c>
      <c r="R21" s="432" t="n">
        <v>0.000332613075762557</v>
      </c>
      <c r="S21" s="432" t="n">
        <v>0.0570860550979835</v>
      </c>
      <c r="T21" s="432" t="n">
        <v>0.226872833910957</v>
      </c>
      <c r="U21" s="427"/>
      <c r="V21" s="427"/>
    </row>
    <row r="22" customFormat="false" ht="12.75" hidden="false" customHeight="true" outlineLevel="0" collapsed="false">
      <c r="A22" s="486" t="s">
        <v>1100</v>
      </c>
      <c r="B22" s="487" t="n">
        <v>1225</v>
      </c>
      <c r="C22" s="432" t="n">
        <v>0.0422</v>
      </c>
      <c r="D22" s="432" t="n">
        <v>0.0824</v>
      </c>
      <c r="E22" s="432" t="n">
        <v>0.144</v>
      </c>
      <c r="F22" s="432" t="n">
        <v>0.000720221606648199</v>
      </c>
      <c r="G22" s="432" t="n">
        <v>0.0479454878441329</v>
      </c>
      <c r="H22" s="432" t="n">
        <v>0.1082627564926</v>
      </c>
      <c r="I22" s="476" t="n">
        <v>1.17924528301887</v>
      </c>
      <c r="J22" s="476" t="n">
        <v>2.80542986425339</v>
      </c>
      <c r="K22" s="476" t="n">
        <v>5.47867581270504</v>
      </c>
      <c r="L22" s="432" t="n">
        <v>0.0906093558896811</v>
      </c>
      <c r="M22" s="432" t="n">
        <v>0.0938775768779902</v>
      </c>
      <c r="N22" s="432" t="n">
        <v>0.106724902698172</v>
      </c>
      <c r="O22" s="476" t="n">
        <v>0.502036254419023</v>
      </c>
      <c r="P22" s="476" t="n">
        <v>1.01618151957108</v>
      </c>
      <c r="Q22" s="476" t="n">
        <v>1.69568971911478</v>
      </c>
      <c r="R22" s="432" t="n">
        <v>0.00916522169928165</v>
      </c>
      <c r="S22" s="432" t="n">
        <v>0.0789473684210526</v>
      </c>
      <c r="T22" s="432" t="n">
        <v>0.259118541033435</v>
      </c>
      <c r="U22" s="427"/>
      <c r="V22" s="427"/>
    </row>
    <row r="23" customFormat="false" ht="12.75" hidden="false" customHeight="true" outlineLevel="0" collapsed="false">
      <c r="A23" s="486" t="s">
        <v>37</v>
      </c>
      <c r="B23" s="487" t="n">
        <v>343</v>
      </c>
      <c r="C23" s="432" t="n">
        <v>0.042</v>
      </c>
      <c r="D23" s="432" t="n">
        <v>0.125</v>
      </c>
      <c r="E23" s="432" t="n">
        <v>0.265</v>
      </c>
      <c r="F23" s="432" t="n">
        <v>-0.0242059145673604</v>
      </c>
      <c r="G23" s="432" t="n">
        <v>0.0344155844155844</v>
      </c>
      <c r="H23" s="432" t="n">
        <v>0.0878632478632479</v>
      </c>
      <c r="I23" s="476" t="n">
        <v>0.756947507719453</v>
      </c>
      <c r="J23" s="476" t="n">
        <v>1.64491978609626</v>
      </c>
      <c r="K23" s="476" t="n">
        <v>2.94969440526563</v>
      </c>
      <c r="L23" s="432" t="n">
        <v>0.107952384535345</v>
      </c>
      <c r="M23" s="432" t="n">
        <v>0.111779819151911</v>
      </c>
      <c r="N23" s="432" t="n">
        <v>0.114084079478505</v>
      </c>
      <c r="O23" s="476" t="n">
        <v>0.819082985340803</v>
      </c>
      <c r="P23" s="476" t="n">
        <v>1.47273166687504</v>
      </c>
      <c r="Q23" s="476" t="n">
        <v>2.07794430547714</v>
      </c>
      <c r="R23" s="432" t="n">
        <v>0.0196877121520706</v>
      </c>
      <c r="S23" s="432" t="n">
        <v>0.0950819672131148</v>
      </c>
      <c r="T23" s="432" t="n">
        <v>0.295427553444181</v>
      </c>
      <c r="U23" s="427"/>
      <c r="V23" s="427"/>
    </row>
    <row r="24" customFormat="false" ht="12.75" hidden="false" customHeight="true" outlineLevel="0" collapsed="false">
      <c r="A24" s="486" t="s">
        <v>1101</v>
      </c>
      <c r="B24" s="487" t="n">
        <v>804</v>
      </c>
      <c r="C24" s="432" t="n">
        <v>0.0258</v>
      </c>
      <c r="D24" s="432" t="n">
        <v>0.0772</v>
      </c>
      <c r="E24" s="432" t="n">
        <v>0.144</v>
      </c>
      <c r="F24" s="432" t="n">
        <v>0.0128870292887029</v>
      </c>
      <c r="G24" s="432" t="n">
        <v>0.0731934731934732</v>
      </c>
      <c r="H24" s="432" t="n">
        <v>0.131623931623932</v>
      </c>
      <c r="I24" s="476" t="n">
        <v>0.587296252730634</v>
      </c>
      <c r="J24" s="476" t="n">
        <v>1.03612021476885</v>
      </c>
      <c r="K24" s="476" t="n">
        <v>1.70243751291056</v>
      </c>
      <c r="L24" s="432" t="n">
        <v>0.0824721277077906</v>
      </c>
      <c r="M24" s="432" t="n">
        <v>0.0864805269476404</v>
      </c>
      <c r="N24" s="432" t="n">
        <v>0.10337501153565</v>
      </c>
      <c r="O24" s="476" t="n">
        <v>0.423315789751794</v>
      </c>
      <c r="P24" s="476" t="n">
        <v>0.97307439295367</v>
      </c>
      <c r="Q24" s="476" t="n">
        <v>1.61321046526126</v>
      </c>
      <c r="R24" s="432" t="n">
        <v>0.0289882176921638</v>
      </c>
      <c r="S24" s="432" t="n">
        <v>0.149774209734069</v>
      </c>
      <c r="T24" s="432" t="n">
        <v>0.36046511627907</v>
      </c>
      <c r="U24" s="427"/>
      <c r="V24" s="427"/>
    </row>
    <row r="25" customFormat="false" ht="12.75" hidden="false" customHeight="true" outlineLevel="0" collapsed="false">
      <c r="A25" s="486" t="s">
        <v>1102</v>
      </c>
      <c r="B25" s="487" t="n">
        <v>329</v>
      </c>
      <c r="C25" s="432" t="n">
        <v>0.0106</v>
      </c>
      <c r="D25" s="432" t="n">
        <v>0.0431</v>
      </c>
      <c r="E25" s="432" t="n">
        <v>0.0848</v>
      </c>
      <c r="F25" s="432" t="n">
        <v>0.0332758474456476</v>
      </c>
      <c r="G25" s="432" t="n">
        <v>0.0916605863624304</v>
      </c>
      <c r="H25" s="432" t="n">
        <v>0.197040316942438</v>
      </c>
      <c r="I25" s="476" t="n">
        <v>0.223952163366616</v>
      </c>
      <c r="J25" s="476" t="n">
        <v>0.724418462041617</v>
      </c>
      <c r="K25" s="476" t="n">
        <v>1.75047369188165</v>
      </c>
      <c r="L25" s="432" t="n">
        <v>0.0678675109295383</v>
      </c>
      <c r="M25" s="432" t="n">
        <v>0.0735774372203904</v>
      </c>
      <c r="N25" s="432" t="n">
        <v>0.0857020325679831</v>
      </c>
      <c r="O25" s="476" t="n">
        <v>0.183547896231214</v>
      </c>
      <c r="P25" s="476" t="n">
        <v>0.754246094308835</v>
      </c>
      <c r="Q25" s="476" t="n">
        <v>1.20895030929564</v>
      </c>
      <c r="R25" s="432" t="n">
        <v>0.0786174991361769</v>
      </c>
      <c r="S25" s="432" t="n">
        <v>0.291402485417195</v>
      </c>
      <c r="T25" s="432" t="n">
        <v>0.568722996740745</v>
      </c>
      <c r="U25" s="427"/>
      <c r="V25" s="427"/>
    </row>
    <row r="26" customFormat="false" ht="12.75" hidden="false" customHeight="true" outlineLevel="0" collapsed="false">
      <c r="A26" s="486" t="s">
        <v>1103</v>
      </c>
      <c r="B26" s="487" t="n">
        <v>1193</v>
      </c>
      <c r="C26" s="432" t="n">
        <v>0.00184</v>
      </c>
      <c r="D26" s="432" t="n">
        <v>0.153</v>
      </c>
      <c r="E26" s="432" t="n">
        <v>0.542</v>
      </c>
      <c r="F26" s="432" t="n">
        <v>-6.60522273425499</v>
      </c>
      <c r="G26" s="432" t="n">
        <v>-1.2410721805976</v>
      </c>
      <c r="H26" s="432" t="n">
        <v>-0.0150717703349282</v>
      </c>
      <c r="I26" s="476" t="n">
        <v>0.00405980403638209</v>
      </c>
      <c r="J26" s="476" t="n">
        <v>0.244614003590664</v>
      </c>
      <c r="K26" s="476" t="n">
        <v>0.819081908190819</v>
      </c>
      <c r="L26" s="432" t="n">
        <v>0.0903939214210795</v>
      </c>
      <c r="M26" s="432" t="n">
        <v>0.0919856730605431</v>
      </c>
      <c r="N26" s="432" t="n">
        <v>0.0982564813472616</v>
      </c>
      <c r="O26" s="476" t="n">
        <v>0.645464988622326</v>
      </c>
      <c r="P26" s="476" t="n">
        <v>1.11101933250721</v>
      </c>
      <c r="Q26" s="476" t="n">
        <v>1.73991496656609</v>
      </c>
      <c r="R26" s="432" t="n">
        <v>0.0017402995994837</v>
      </c>
      <c r="S26" s="432" t="n">
        <v>0.0328609780133891</v>
      </c>
      <c r="T26" s="432" t="n">
        <v>0.141426090091015</v>
      </c>
      <c r="U26" s="427"/>
      <c r="V26" s="427"/>
    </row>
    <row r="27" customFormat="false" ht="12.75" hidden="false" customHeight="true" outlineLevel="0" collapsed="false">
      <c r="A27" s="486" t="s">
        <v>1104</v>
      </c>
      <c r="B27" s="487" t="n">
        <v>1260</v>
      </c>
      <c r="C27" s="432" t="n">
        <v>0.039</v>
      </c>
      <c r="D27" s="432" t="n">
        <v>0.104</v>
      </c>
      <c r="E27" s="432" t="n">
        <v>0.189</v>
      </c>
      <c r="F27" s="432" t="n">
        <v>-0.141447368421053</v>
      </c>
      <c r="G27" s="432" t="n">
        <v>0.0588798468166587</v>
      </c>
      <c r="H27" s="432" t="n">
        <v>0.154827605048904</v>
      </c>
      <c r="I27" s="476" t="n">
        <v>0.40617589182098</v>
      </c>
      <c r="J27" s="476" t="n">
        <v>0.820195838433293</v>
      </c>
      <c r="K27" s="476" t="n">
        <v>1.37650424972002</v>
      </c>
      <c r="L27" s="432" t="n">
        <v>0.0838518354070943</v>
      </c>
      <c r="M27" s="432" t="n">
        <v>0.0890419725443774</v>
      </c>
      <c r="N27" s="432" t="n">
        <v>0.101576214560483</v>
      </c>
      <c r="O27" s="476" t="n">
        <v>0.514990450154383</v>
      </c>
      <c r="P27" s="476" t="n">
        <v>0.970329760425172</v>
      </c>
      <c r="Q27" s="476" t="n">
        <v>1.50653697974665</v>
      </c>
      <c r="R27" s="432" t="n">
        <v>0.00408682131450664</v>
      </c>
      <c r="S27" s="432" t="n">
        <v>0.0659985333659252</v>
      </c>
      <c r="T27" s="432" t="n">
        <v>0.218160377358491</v>
      </c>
      <c r="U27" s="427"/>
      <c r="V27" s="427"/>
    </row>
    <row r="28" customFormat="false" ht="12.75" hidden="false" customHeight="true" outlineLevel="0" collapsed="false">
      <c r="A28" s="486" t="s">
        <v>1105</v>
      </c>
      <c r="B28" s="487" t="n">
        <v>281</v>
      </c>
      <c r="C28" s="432" t="n">
        <v>0.0373</v>
      </c>
      <c r="D28" s="432" t="n">
        <v>0.0718</v>
      </c>
      <c r="E28" s="432" t="n">
        <v>0.122</v>
      </c>
      <c r="F28" s="432" t="n">
        <v>-0.00446848134655731</v>
      </c>
      <c r="G28" s="432" t="n">
        <v>0.100401606425703</v>
      </c>
      <c r="H28" s="432" t="n">
        <v>0.213051275641266</v>
      </c>
      <c r="I28" s="476" t="n">
        <v>0.464937560038425</v>
      </c>
      <c r="J28" s="476" t="n">
        <v>1.14798055974527</v>
      </c>
      <c r="K28" s="476" t="n">
        <v>2.47669962624781</v>
      </c>
      <c r="L28" s="432" t="n">
        <v>0.0727668461217912</v>
      </c>
      <c r="M28" s="432" t="n">
        <v>0.0768687272614387</v>
      </c>
      <c r="N28" s="432" t="n">
        <v>0.0889724336242133</v>
      </c>
      <c r="O28" s="476" t="n">
        <v>0.242251584075672</v>
      </c>
      <c r="P28" s="476" t="n">
        <v>0.711520800446216</v>
      </c>
      <c r="Q28" s="476" t="n">
        <v>1.28550590171001</v>
      </c>
      <c r="R28" s="432" t="n">
        <v>0.0204752275025278</v>
      </c>
      <c r="S28" s="432" t="n">
        <v>0.111658456486043</v>
      </c>
      <c r="T28" s="432" t="n">
        <v>0.358991814767983</v>
      </c>
      <c r="U28" s="427"/>
      <c r="V28" s="427"/>
    </row>
    <row r="29" customFormat="false" ht="12.75" hidden="false" customHeight="true" outlineLevel="0" collapsed="false">
      <c r="A29" s="486" t="s">
        <v>637</v>
      </c>
      <c r="B29" s="487" t="n">
        <v>1158</v>
      </c>
      <c r="C29" s="432" t="n">
        <v>0.066</v>
      </c>
      <c r="D29" s="432" t="n">
        <v>0.158</v>
      </c>
      <c r="E29" s="432" t="n">
        <v>0.273</v>
      </c>
      <c r="F29" s="432" t="n">
        <v>-0.0411192214111922</v>
      </c>
      <c r="G29" s="432" t="n">
        <v>0.0449238578680203</v>
      </c>
      <c r="H29" s="432" t="n">
        <v>0.103092783505155</v>
      </c>
      <c r="I29" s="476" t="n">
        <v>0.687122186257556</v>
      </c>
      <c r="J29" s="476" t="n">
        <v>1.25632637352064</v>
      </c>
      <c r="K29" s="476" t="n">
        <v>2.12203653322969</v>
      </c>
      <c r="L29" s="432" t="n">
        <v>0.102037872160068</v>
      </c>
      <c r="M29" s="432" t="n">
        <v>0.106621467542354</v>
      </c>
      <c r="N29" s="432" t="n">
        <v>0.110950862378251</v>
      </c>
      <c r="O29" s="476" t="n">
        <v>0.69447198687391</v>
      </c>
      <c r="P29" s="476" t="n">
        <v>1.3572797433241</v>
      </c>
      <c r="Q29" s="476" t="n">
        <v>2.0347501762455</v>
      </c>
      <c r="R29" s="432" t="n">
        <v>0.0170485674691418</v>
      </c>
      <c r="S29" s="432" t="n">
        <v>0.0909090909090909</v>
      </c>
      <c r="T29" s="432" t="n">
        <v>0.27128472517237</v>
      </c>
      <c r="U29" s="427"/>
      <c r="V29" s="427"/>
    </row>
    <row r="30" customFormat="false" ht="12.75" hidden="false" customHeight="true" outlineLevel="0" collapsed="false">
      <c r="A30" s="486" t="s">
        <v>1106</v>
      </c>
      <c r="B30" s="487" t="n">
        <v>122</v>
      </c>
      <c r="C30" s="432" t="n">
        <v>0.0103</v>
      </c>
      <c r="D30" s="432" t="n">
        <v>0.0732</v>
      </c>
      <c r="E30" s="432" t="n">
        <v>0.164</v>
      </c>
      <c r="F30" s="432" t="n">
        <v>-0.024442119944212</v>
      </c>
      <c r="G30" s="432" t="n">
        <v>0.0300308008213552</v>
      </c>
      <c r="H30" s="432" t="n">
        <v>0.0798175598631699</v>
      </c>
      <c r="I30" s="476" t="n">
        <v>0.924059139784946</v>
      </c>
      <c r="J30" s="476" t="n">
        <v>1.65673420738975</v>
      </c>
      <c r="K30" s="476" t="n">
        <v>2.81413612565445</v>
      </c>
      <c r="L30" s="432" t="n">
        <v>0.0949593900115168</v>
      </c>
      <c r="M30" s="432" t="n">
        <v>0.0986160033953774</v>
      </c>
      <c r="N30" s="432" t="n">
        <v>0.10003503653546</v>
      </c>
      <c r="O30" s="476" t="n">
        <v>0.571359746120536</v>
      </c>
      <c r="P30" s="476" t="n">
        <v>1.22015530743957</v>
      </c>
      <c r="Q30" s="476" t="n">
        <v>1.88301064349972</v>
      </c>
      <c r="R30" s="432" t="n">
        <v>0.0118851392383101</v>
      </c>
      <c r="S30" s="432" t="n">
        <v>0.0657142857142857</v>
      </c>
      <c r="T30" s="432" t="n">
        <v>0.246537396121884</v>
      </c>
      <c r="U30" s="427"/>
      <c r="V30" s="427"/>
    </row>
    <row r="31" customFormat="false" ht="12.75" hidden="false" customHeight="true" outlineLevel="0" collapsed="false">
      <c r="A31" s="486" t="s">
        <v>781</v>
      </c>
      <c r="B31" s="487" t="n">
        <v>1481</v>
      </c>
      <c r="C31" s="432" t="n">
        <v>0.0548</v>
      </c>
      <c r="D31" s="432" t="n">
        <v>0.123</v>
      </c>
      <c r="E31" s="432" t="n">
        <v>0.251</v>
      </c>
      <c r="F31" s="432" t="n">
        <v>-0.0515413472516718</v>
      </c>
      <c r="G31" s="432" t="n">
        <v>0.0374509211718514</v>
      </c>
      <c r="H31" s="432" t="n">
        <v>0.100782918149466</v>
      </c>
      <c r="I31" s="476" t="n">
        <v>0.644420572042433</v>
      </c>
      <c r="J31" s="476" t="n">
        <v>1.13512781544648</v>
      </c>
      <c r="K31" s="476" t="n">
        <v>1.87234944868533</v>
      </c>
      <c r="L31" s="432" t="n">
        <v>0.111459673124843</v>
      </c>
      <c r="M31" s="432" t="n">
        <v>0.117020582506943</v>
      </c>
      <c r="N31" s="432" t="n">
        <v>0.119559595473577</v>
      </c>
      <c r="O31" s="476" t="n">
        <v>0.915717173155335</v>
      </c>
      <c r="P31" s="476" t="n">
        <v>1.56551190628338</v>
      </c>
      <c r="Q31" s="476" t="n">
        <v>2.23031467902932</v>
      </c>
      <c r="R31" s="432" t="n">
        <v>0.0146283747445413</v>
      </c>
      <c r="S31" s="432" t="n">
        <v>0.0769491525423729</v>
      </c>
      <c r="T31" s="432" t="n">
        <v>0.229346892865703</v>
      </c>
      <c r="U31" s="427"/>
      <c r="V31" s="427"/>
    </row>
    <row r="32" customFormat="false" ht="12.75" hidden="false" customHeight="true" outlineLevel="0" collapsed="false">
      <c r="A32" s="486" t="s">
        <v>1107</v>
      </c>
      <c r="B32" s="487" t="n">
        <v>1390</v>
      </c>
      <c r="C32" s="432" t="n">
        <v>0.032</v>
      </c>
      <c r="D32" s="432" t="n">
        <v>0.0804</v>
      </c>
      <c r="E32" s="432" t="n">
        <v>0.156</v>
      </c>
      <c r="F32" s="432" t="n">
        <v>0.0069375</v>
      </c>
      <c r="G32" s="432" t="n">
        <v>0.0534117647058824</v>
      </c>
      <c r="H32" s="432" t="n">
        <v>0.106763285024155</v>
      </c>
      <c r="I32" s="476" t="n">
        <v>0.780582524271845</v>
      </c>
      <c r="J32" s="476" t="n">
        <v>1.71644240236298</v>
      </c>
      <c r="K32" s="476" t="n">
        <v>3.18077803203661</v>
      </c>
      <c r="L32" s="432" t="n">
        <v>0.0753750309366622</v>
      </c>
      <c r="M32" s="432" t="n">
        <v>0.078299829002504</v>
      </c>
      <c r="N32" s="432" t="n">
        <v>0.0902802935210014</v>
      </c>
      <c r="O32" s="476" t="n">
        <v>0.430643049684555</v>
      </c>
      <c r="P32" s="476" t="n">
        <v>0.949076054012035</v>
      </c>
      <c r="Q32" s="476" t="n">
        <v>1.45798198778962</v>
      </c>
      <c r="R32" s="432" t="n">
        <v>0.0345281638624726</v>
      </c>
      <c r="S32" s="432" t="n">
        <v>0.170172978027116</v>
      </c>
      <c r="T32" s="432" t="n">
        <v>0.43605359317905</v>
      </c>
      <c r="U32" s="427"/>
      <c r="V32" s="427"/>
    </row>
    <row r="33" customFormat="false" ht="12.75" hidden="false" customHeight="true" outlineLevel="0" collapsed="false">
      <c r="A33" s="486" t="s">
        <v>639</v>
      </c>
      <c r="B33" s="487" t="n">
        <v>733</v>
      </c>
      <c r="C33" s="432" t="n">
        <v>0.0256</v>
      </c>
      <c r="D33" s="432" t="n">
        <v>0.0741</v>
      </c>
      <c r="E33" s="432" t="n">
        <v>0.176</v>
      </c>
      <c r="F33" s="432" t="n">
        <v>-0.233287858117326</v>
      </c>
      <c r="G33" s="432" t="n">
        <v>0.00150753768844221</v>
      </c>
      <c r="H33" s="432" t="n">
        <v>0.117366946778712</v>
      </c>
      <c r="I33" s="476" t="n">
        <v>0.451488952929875</v>
      </c>
      <c r="J33" s="476" t="n">
        <v>1.01661779081134</v>
      </c>
      <c r="K33" s="476" t="n">
        <v>2.28892215568862</v>
      </c>
      <c r="L33" s="432" t="n">
        <v>0.0826469399479795</v>
      </c>
      <c r="M33" s="432" t="n">
        <v>0.087837580178839</v>
      </c>
      <c r="N33" s="432" t="n">
        <v>0.0910634954983702</v>
      </c>
      <c r="O33" s="476" t="n">
        <v>0.344857012939305</v>
      </c>
      <c r="P33" s="476" t="n">
        <v>0.893963869274034</v>
      </c>
      <c r="Q33" s="476" t="n">
        <v>1.55763748083616</v>
      </c>
      <c r="R33" s="432" t="n">
        <v>0.00127443503391804</v>
      </c>
      <c r="S33" s="432" t="n">
        <v>0.054353382177543</v>
      </c>
      <c r="T33" s="432" t="n">
        <v>0.247534516765286</v>
      </c>
      <c r="U33" s="427"/>
      <c r="V33" s="427"/>
    </row>
    <row r="34" customFormat="false" ht="12.75" hidden="false" customHeight="true" outlineLevel="0" collapsed="false">
      <c r="A34" s="486" t="s">
        <v>1108</v>
      </c>
      <c r="B34" s="487" t="n">
        <v>397</v>
      </c>
      <c r="C34" s="432" t="n">
        <v>0.0304</v>
      </c>
      <c r="D34" s="432" t="n">
        <v>0.0982</v>
      </c>
      <c r="E34" s="432" t="n">
        <v>0.238</v>
      </c>
      <c r="F34" s="432" t="n">
        <v>-0.0761904761904762</v>
      </c>
      <c r="G34" s="432" t="n">
        <v>0.0457680722891566</v>
      </c>
      <c r="H34" s="432" t="n">
        <v>0.125831202046036</v>
      </c>
      <c r="I34" s="476" t="n">
        <v>0.361761949390815</v>
      </c>
      <c r="J34" s="476" t="n">
        <v>0.847715119105494</v>
      </c>
      <c r="K34" s="476" t="n">
        <v>2.21411634485806</v>
      </c>
      <c r="L34" s="432" t="n">
        <v>0.0791703692182975</v>
      </c>
      <c r="M34" s="432" t="n">
        <v>0.0831659290508572</v>
      </c>
      <c r="N34" s="432" t="n">
        <v>0.085756905589612</v>
      </c>
      <c r="O34" s="476" t="n">
        <v>0.51419252508556</v>
      </c>
      <c r="P34" s="476" t="n">
        <v>1.02194285750149</v>
      </c>
      <c r="Q34" s="476" t="n">
        <v>1.66012396067491</v>
      </c>
      <c r="R34" s="432" t="n">
        <v>0.029110620471461</v>
      </c>
      <c r="S34" s="432" t="n">
        <v>0.180517711171662</v>
      </c>
      <c r="T34" s="432" t="n">
        <v>0.440065608653249</v>
      </c>
      <c r="U34" s="427"/>
      <c r="V34" s="427"/>
    </row>
    <row r="35" customFormat="false" ht="12.75" hidden="false" customHeight="true" outlineLevel="0" collapsed="false">
      <c r="A35" s="486" t="s">
        <v>1109</v>
      </c>
      <c r="B35" s="487" t="n">
        <v>428</v>
      </c>
      <c r="C35" s="432" t="n">
        <v>0.0251</v>
      </c>
      <c r="D35" s="432" t="n">
        <v>0.0549</v>
      </c>
      <c r="E35" s="432" t="n">
        <v>0.105</v>
      </c>
      <c r="F35" s="432" t="n">
        <v>0.00623456790123457</v>
      </c>
      <c r="G35" s="432" t="n">
        <v>0.0645167290514029</v>
      </c>
      <c r="H35" s="432" t="n">
        <v>0.152087707021227</v>
      </c>
      <c r="I35" s="476" t="n">
        <v>0.584848872941194</v>
      </c>
      <c r="J35" s="476" t="n">
        <v>1.04351821622471</v>
      </c>
      <c r="K35" s="476" t="n">
        <v>1.90047961630695</v>
      </c>
      <c r="L35" s="432" t="n">
        <v>0.0624759894676665</v>
      </c>
      <c r="M35" s="432" t="n">
        <v>0.0679618726397104</v>
      </c>
      <c r="N35" s="432" t="n">
        <v>0.0743005810516541</v>
      </c>
      <c r="O35" s="476" t="n">
        <v>0.152663303629999</v>
      </c>
      <c r="P35" s="476" t="n">
        <v>0.548823860255895</v>
      </c>
      <c r="Q35" s="476" t="n">
        <v>1.16798426512611</v>
      </c>
      <c r="R35" s="432" t="n">
        <v>0.00645802285146548</v>
      </c>
      <c r="S35" s="432" t="n">
        <v>0.129106749239005</v>
      </c>
      <c r="T35" s="432" t="n">
        <v>0.359549923282378</v>
      </c>
      <c r="U35" s="427"/>
      <c r="V35" s="427"/>
    </row>
    <row r="36" customFormat="false" ht="12.75" hidden="false" customHeight="true" outlineLevel="0" collapsed="false">
      <c r="A36" s="486" t="s">
        <v>1110</v>
      </c>
      <c r="B36" s="487" t="n">
        <v>1138</v>
      </c>
      <c r="C36" s="432" t="n">
        <v>0.0409</v>
      </c>
      <c r="D36" s="432" t="n">
        <v>0.0903</v>
      </c>
      <c r="E36" s="432" t="n">
        <v>0.175</v>
      </c>
      <c r="F36" s="432" t="n">
        <v>0</v>
      </c>
      <c r="G36" s="432" t="n">
        <v>0</v>
      </c>
      <c r="H36" s="432" t="n">
        <v>0.163032343041124</v>
      </c>
      <c r="I36" s="476" t="n">
        <v>0.0836890350570289</v>
      </c>
      <c r="J36" s="476" t="n">
        <v>0.229808492922565</v>
      </c>
      <c r="K36" s="476" t="n">
        <v>0.898593803589802</v>
      </c>
      <c r="L36" s="432" t="n">
        <v>0.0526546683385691</v>
      </c>
      <c r="M36" s="432" t="n">
        <v>0.0585821505872555</v>
      </c>
      <c r="N36" s="432" t="n">
        <v>0.0614026455627052</v>
      </c>
      <c r="O36" s="476" t="n">
        <v>0.234794265038184</v>
      </c>
      <c r="P36" s="476" t="n">
        <v>0.728063191500724</v>
      </c>
      <c r="Q36" s="476" t="n">
        <v>1.2809620489595</v>
      </c>
      <c r="R36" s="432" t="n">
        <v>0.0164717116256863</v>
      </c>
      <c r="S36" s="432" t="n">
        <v>0.230283954778585</v>
      </c>
      <c r="T36" s="432" t="n">
        <v>0.588111131632411</v>
      </c>
      <c r="U36" s="427"/>
      <c r="V36" s="427"/>
    </row>
    <row r="37" customFormat="false" ht="12.75" hidden="false" customHeight="true" outlineLevel="0" collapsed="false">
      <c r="A37" s="486" t="s">
        <v>642</v>
      </c>
      <c r="B37" s="487" t="n">
        <v>1450</v>
      </c>
      <c r="C37" s="432" t="n">
        <v>0.0199</v>
      </c>
      <c r="D37" s="432" t="n">
        <v>0.0543</v>
      </c>
      <c r="E37" s="432" t="n">
        <v>0.115</v>
      </c>
      <c r="F37" s="432" t="n">
        <v>0.0135663082437276</v>
      </c>
      <c r="G37" s="432" t="n">
        <v>0.052530635798907</v>
      </c>
      <c r="H37" s="432" t="n">
        <v>0.102112676056338</v>
      </c>
      <c r="I37" s="476" t="n">
        <v>0.904693620739391</v>
      </c>
      <c r="J37" s="476" t="n">
        <v>1.53994606884154</v>
      </c>
      <c r="K37" s="476" t="n">
        <v>2.46692216443106</v>
      </c>
      <c r="L37" s="432" t="n">
        <v>0.066154324026117</v>
      </c>
      <c r="M37" s="432" t="n">
        <v>0.0717796660644384</v>
      </c>
      <c r="N37" s="432" t="n">
        <v>0.0791175031017125</v>
      </c>
      <c r="O37" s="476" t="n">
        <v>0.188795892293483</v>
      </c>
      <c r="P37" s="476" t="n">
        <v>0.598741811648485</v>
      </c>
      <c r="Q37" s="476" t="n">
        <v>1.0792245027588</v>
      </c>
      <c r="R37" s="432" t="n">
        <v>0.0308482957604809</v>
      </c>
      <c r="S37" s="432" t="n">
        <v>0.178525226390686</v>
      </c>
      <c r="T37" s="432" t="n">
        <v>0.42255602068456</v>
      </c>
      <c r="U37" s="427"/>
      <c r="V37" s="427"/>
    </row>
    <row r="38" customFormat="false" ht="12.75" hidden="false" customHeight="true" outlineLevel="0" collapsed="false">
      <c r="A38" s="486" t="s">
        <v>643</v>
      </c>
      <c r="B38" s="487" t="n">
        <v>183</v>
      </c>
      <c r="C38" s="432" t="n">
        <v>0.0282</v>
      </c>
      <c r="D38" s="432" t="n">
        <v>0.044</v>
      </c>
      <c r="E38" s="432" t="n">
        <v>0.077</v>
      </c>
      <c r="F38" s="432" t="n">
        <v>0.00495850041304898</v>
      </c>
      <c r="G38" s="432" t="n">
        <v>0.0274140752864157</v>
      </c>
      <c r="H38" s="432" t="n">
        <v>0.0503937007874016</v>
      </c>
      <c r="I38" s="476" t="n">
        <v>1.14884533281584</v>
      </c>
      <c r="J38" s="476" t="n">
        <v>3.21726580949882</v>
      </c>
      <c r="K38" s="476" t="n">
        <v>6.28166957446556</v>
      </c>
      <c r="L38" s="432" t="n">
        <v>0.0625740803537378</v>
      </c>
      <c r="M38" s="432" t="n">
        <v>0.0671709257443666</v>
      </c>
      <c r="N38" s="432" t="n">
        <v>0.0737807239743037</v>
      </c>
      <c r="O38" s="476" t="n">
        <v>0.272168286942039</v>
      </c>
      <c r="P38" s="476" t="n">
        <v>0.628645596503942</v>
      </c>
      <c r="Q38" s="476" t="n">
        <v>1.02291403437943</v>
      </c>
      <c r="R38" s="432" t="n">
        <v>0.011830201809325</v>
      </c>
      <c r="S38" s="432" t="n">
        <v>0.18800509394505</v>
      </c>
      <c r="T38" s="432" t="n">
        <v>0.373498600474574</v>
      </c>
      <c r="U38" s="427"/>
      <c r="V38" s="427"/>
    </row>
    <row r="39" customFormat="false" ht="12.75" hidden="false" customHeight="true" outlineLevel="0" collapsed="false">
      <c r="A39" s="486" t="s">
        <v>1111</v>
      </c>
      <c r="B39" s="487" t="n">
        <v>383</v>
      </c>
      <c r="C39" s="432" t="n">
        <v>0.0148</v>
      </c>
      <c r="D39" s="432" t="n">
        <v>0.0534</v>
      </c>
      <c r="E39" s="432" t="n">
        <v>0.101</v>
      </c>
      <c r="F39" s="432" t="n">
        <v>-0.00157232704402516</v>
      </c>
      <c r="G39" s="432" t="n">
        <v>0.0450486464053016</v>
      </c>
      <c r="H39" s="432" t="n">
        <v>0.0930419627295884</v>
      </c>
      <c r="I39" s="476" t="n">
        <v>0.894105188845747</v>
      </c>
      <c r="J39" s="476" t="n">
        <v>1.47052295741434</v>
      </c>
      <c r="K39" s="476" t="n">
        <v>2.21384079987687</v>
      </c>
      <c r="L39" s="432" t="n">
        <v>0.084500080662072</v>
      </c>
      <c r="M39" s="432" t="n">
        <v>0.0874894960147378</v>
      </c>
      <c r="N39" s="432" t="n">
        <v>0.101469649046021</v>
      </c>
      <c r="O39" s="476" t="n">
        <v>0.419610742056535</v>
      </c>
      <c r="P39" s="476" t="n">
        <v>0.844673369380509</v>
      </c>
      <c r="Q39" s="476" t="n">
        <v>1.36206149412438</v>
      </c>
      <c r="R39" s="432" t="n">
        <v>0.0217391304347826</v>
      </c>
      <c r="S39" s="432" t="n">
        <v>0.130558183538316</v>
      </c>
      <c r="T39" s="432" t="n">
        <v>0.335802469135803</v>
      </c>
      <c r="U39" s="427"/>
      <c r="V39" s="427"/>
    </row>
    <row r="40" customFormat="false" ht="12.75" hidden="false" customHeight="true" outlineLevel="0" collapsed="false">
      <c r="A40" s="486" t="s">
        <v>1112</v>
      </c>
      <c r="B40" s="487" t="n">
        <v>258</v>
      </c>
      <c r="C40" s="432" t="n">
        <v>0.0265</v>
      </c>
      <c r="D40" s="432" t="n">
        <v>0.0813</v>
      </c>
      <c r="E40" s="432" t="n">
        <v>0.177</v>
      </c>
      <c r="F40" s="432" t="n">
        <v>-0.00775229357798165</v>
      </c>
      <c r="G40" s="432" t="n">
        <v>0.194990176817289</v>
      </c>
      <c r="H40" s="432" t="n">
        <v>0.35792349726776</v>
      </c>
      <c r="I40" s="476" t="n">
        <v>0.118248693295477</v>
      </c>
      <c r="J40" s="476" t="n">
        <v>0.209717996022714</v>
      </c>
      <c r="K40" s="476" t="n">
        <v>0.449487045731177</v>
      </c>
      <c r="L40" s="432" t="n">
        <v>0.0646192130717998</v>
      </c>
      <c r="M40" s="432" t="n">
        <v>0.0706122396884635</v>
      </c>
      <c r="N40" s="432" t="n">
        <v>0.078738655545347</v>
      </c>
      <c r="O40" s="476" t="n">
        <v>0.281090700494481</v>
      </c>
      <c r="P40" s="476" t="n">
        <v>0.793033148891539</v>
      </c>
      <c r="Q40" s="476" t="n">
        <v>1.28022456500523</v>
      </c>
      <c r="R40" s="432" t="n">
        <v>0.0657124268054652</v>
      </c>
      <c r="S40" s="432" t="n">
        <v>0.329593267882188</v>
      </c>
      <c r="T40" s="432" t="n">
        <v>0.557821911118346</v>
      </c>
      <c r="U40" s="427"/>
      <c r="V40" s="427"/>
    </row>
    <row r="41" customFormat="false" ht="12.75" hidden="false" customHeight="true" outlineLevel="0" collapsed="false">
      <c r="A41" s="486" t="s">
        <v>1113</v>
      </c>
      <c r="B41" s="487" t="n">
        <v>842</v>
      </c>
      <c r="C41" s="432" t="n">
        <v>0.0446</v>
      </c>
      <c r="D41" s="432" t="n">
        <v>0.11</v>
      </c>
      <c r="E41" s="432" t="n">
        <v>0.233</v>
      </c>
      <c r="F41" s="432" t="n">
        <v>-0.530864197530864</v>
      </c>
      <c r="G41" s="432" t="n">
        <v>0.0102736750651607</v>
      </c>
      <c r="H41" s="432" t="n">
        <v>0.13072625698324</v>
      </c>
      <c r="I41" s="476" t="n">
        <v>0.46896605227009</v>
      </c>
      <c r="J41" s="476" t="n">
        <v>0.915718146426913</v>
      </c>
      <c r="K41" s="476" t="n">
        <v>1.61652542372881</v>
      </c>
      <c r="L41" s="432" t="n">
        <v>0.0874492533891779</v>
      </c>
      <c r="M41" s="432" t="n">
        <v>0.0925263962256015</v>
      </c>
      <c r="N41" s="432" t="n">
        <v>0.0962322987356198</v>
      </c>
      <c r="O41" s="476" t="n">
        <v>0.599728219940751</v>
      </c>
      <c r="P41" s="476" t="n">
        <v>1.0267917725906</v>
      </c>
      <c r="Q41" s="476" t="n">
        <v>1.6307846596343</v>
      </c>
      <c r="R41" s="432" t="n">
        <v>0.00838579640182148</v>
      </c>
      <c r="S41" s="432" t="n">
        <v>0.0688084558951358</v>
      </c>
      <c r="T41" s="432" t="n">
        <v>0.212978943734898</v>
      </c>
      <c r="U41" s="427"/>
      <c r="V41" s="427"/>
    </row>
    <row r="42" customFormat="false" ht="12.75" hidden="false" customHeight="true" outlineLevel="0" collapsed="false">
      <c r="A42" s="486" t="s">
        <v>1114</v>
      </c>
      <c r="B42" s="487" t="n">
        <v>478</v>
      </c>
      <c r="C42" s="432" t="n">
        <v>0.0318</v>
      </c>
      <c r="D42" s="432" t="n">
        <v>0.0681</v>
      </c>
      <c r="E42" s="432" t="n">
        <v>0.149</v>
      </c>
      <c r="F42" s="432" t="n">
        <v>-0.0260655737704918</v>
      </c>
      <c r="G42" s="432" t="n">
        <v>0.0337945028592511</v>
      </c>
      <c r="H42" s="432" t="n">
        <v>0.101600302747562</v>
      </c>
      <c r="I42" s="476" t="n">
        <v>1.00427510687767</v>
      </c>
      <c r="J42" s="476" t="n">
        <v>1.85308660757337</v>
      </c>
      <c r="K42" s="476" t="n">
        <v>4.19573643410853</v>
      </c>
      <c r="L42" s="432" t="n">
        <v>0.0732333081764892</v>
      </c>
      <c r="M42" s="432" t="n">
        <v>0.0775425044415675</v>
      </c>
      <c r="N42" s="432" t="n">
        <v>0.0840973556052514</v>
      </c>
      <c r="O42" s="476" t="n">
        <v>0.397694169792106</v>
      </c>
      <c r="P42" s="476" t="n">
        <v>0.79655404002806</v>
      </c>
      <c r="Q42" s="476" t="n">
        <v>1.32242767903353</v>
      </c>
      <c r="R42" s="432" t="n">
        <v>0.0317270278359773</v>
      </c>
      <c r="S42" s="432" t="n">
        <v>0.161099044176802</v>
      </c>
      <c r="T42" s="432" t="n">
        <v>0.374035647778665</v>
      </c>
      <c r="U42" s="427"/>
      <c r="V42" s="427"/>
    </row>
    <row r="43" customFormat="false" ht="12.75" hidden="false" customHeight="true" outlineLevel="0" collapsed="false">
      <c r="A43" s="486" t="s">
        <v>1115</v>
      </c>
      <c r="B43" s="487" t="n">
        <v>430</v>
      </c>
      <c r="C43" s="432" t="n">
        <v>0.0387</v>
      </c>
      <c r="D43" s="432" t="n">
        <v>0.0978</v>
      </c>
      <c r="E43" s="432" t="n">
        <v>0.187</v>
      </c>
      <c r="F43" s="432" t="n">
        <v>-0.72753209700428</v>
      </c>
      <c r="G43" s="432" t="n">
        <v>-0.0232817926732489</v>
      </c>
      <c r="H43" s="432" t="n">
        <v>0.123163051084675</v>
      </c>
      <c r="I43" s="476" t="n">
        <v>0.368052609249045</v>
      </c>
      <c r="J43" s="476" t="n">
        <v>0.892774593607656</v>
      </c>
      <c r="K43" s="476" t="n">
        <v>1.77365844346926</v>
      </c>
      <c r="L43" s="432" t="n">
        <v>0.0906832795655914</v>
      </c>
      <c r="M43" s="432" t="n">
        <v>0.0950188960319018</v>
      </c>
      <c r="N43" s="432" t="n">
        <v>0.101041013374727</v>
      </c>
      <c r="O43" s="476" t="n">
        <v>0.691371021784658</v>
      </c>
      <c r="P43" s="476" t="n">
        <v>1.1594746925271</v>
      </c>
      <c r="Q43" s="476" t="n">
        <v>1.83983214746737</v>
      </c>
      <c r="R43" s="432" t="n">
        <v>0.00220894623224057</v>
      </c>
      <c r="S43" s="432" t="n">
        <v>0.0412481049641018</v>
      </c>
      <c r="T43" s="432" t="n">
        <v>0.188843174317234</v>
      </c>
      <c r="U43" s="427"/>
      <c r="V43" s="427"/>
    </row>
    <row r="44" customFormat="false" ht="12.75" hidden="false" customHeight="true" outlineLevel="0" collapsed="false">
      <c r="A44" s="486" t="s">
        <v>651</v>
      </c>
      <c r="B44" s="487" t="n">
        <v>160</v>
      </c>
      <c r="C44" s="432" t="n">
        <v>-0.00768</v>
      </c>
      <c r="D44" s="432" t="n">
        <v>0.0563</v>
      </c>
      <c r="E44" s="432" t="n">
        <v>0.114</v>
      </c>
      <c r="F44" s="432" t="n">
        <v>0.014206068250748</v>
      </c>
      <c r="G44" s="432" t="n">
        <v>0.0747965751973288</v>
      </c>
      <c r="H44" s="432" t="n">
        <v>0.134249618214633</v>
      </c>
      <c r="I44" s="476" t="n">
        <v>0.612861608263847</v>
      </c>
      <c r="J44" s="476" t="n">
        <v>1.33391608391608</v>
      </c>
      <c r="K44" s="476" t="n">
        <v>2.39565734745964</v>
      </c>
      <c r="L44" s="432" t="n">
        <v>0.0744895007689392</v>
      </c>
      <c r="M44" s="432" t="n">
        <v>0.0776538437220614</v>
      </c>
      <c r="N44" s="432" t="n">
        <v>0.0832260117131518</v>
      </c>
      <c r="O44" s="476" t="n">
        <v>0.448760490238742</v>
      </c>
      <c r="P44" s="476" t="n">
        <v>0.89140942876456</v>
      </c>
      <c r="Q44" s="476" t="n">
        <v>1.31869267965222</v>
      </c>
      <c r="R44" s="432" t="n">
        <v>0.0823670531787285</v>
      </c>
      <c r="S44" s="432" t="n">
        <v>0.295844521160977</v>
      </c>
      <c r="T44" s="432" t="n">
        <v>0.587052476704267</v>
      </c>
      <c r="U44" s="427"/>
      <c r="V44" s="427"/>
    </row>
    <row r="45" customFormat="false" ht="12.75" hidden="false" customHeight="true" outlineLevel="0" collapsed="false">
      <c r="A45" s="486" t="s">
        <v>1116</v>
      </c>
      <c r="B45" s="487" t="n">
        <v>249</v>
      </c>
      <c r="C45" s="432" t="n">
        <v>0.0479</v>
      </c>
      <c r="D45" s="432" t="n">
        <v>0.0943</v>
      </c>
      <c r="E45" s="432" t="n">
        <v>0.162</v>
      </c>
      <c r="F45" s="432" t="n">
        <v>0.0377845220030349</v>
      </c>
      <c r="G45" s="432" t="n">
        <v>0.0995785753126699</v>
      </c>
      <c r="H45" s="432" t="n">
        <v>0.163661581137309</v>
      </c>
      <c r="I45" s="476" t="n">
        <v>0.710272323263964</v>
      </c>
      <c r="J45" s="476" t="n">
        <v>1.07846734073933</v>
      </c>
      <c r="K45" s="476" t="n">
        <v>1.73058485139022</v>
      </c>
      <c r="L45" s="432" t="n">
        <v>0.0664506518037736</v>
      </c>
      <c r="M45" s="432" t="n">
        <v>0.0719689472606613</v>
      </c>
      <c r="N45" s="432" t="n">
        <v>0.0803534092959977</v>
      </c>
      <c r="O45" s="476" t="n">
        <v>0.214036875373547</v>
      </c>
      <c r="P45" s="476" t="n">
        <v>0.722734275185989</v>
      </c>
      <c r="Q45" s="476" t="n">
        <v>1.10708236438628</v>
      </c>
      <c r="R45" s="432" t="n">
        <v>0.043748785996334</v>
      </c>
      <c r="S45" s="432" t="n">
        <v>0.168041919962828</v>
      </c>
      <c r="T45" s="432" t="n">
        <v>0.402329717853032</v>
      </c>
      <c r="U45" s="427"/>
      <c r="V45" s="427"/>
    </row>
    <row r="46" customFormat="false" ht="12.75" hidden="false" customHeight="true" outlineLevel="0" collapsed="false">
      <c r="A46" s="486" t="s">
        <v>652</v>
      </c>
      <c r="B46" s="487" t="n">
        <v>656</v>
      </c>
      <c r="C46" s="432" t="n">
        <v>0.0329</v>
      </c>
      <c r="D46" s="432" t="n">
        <v>0.0715</v>
      </c>
      <c r="E46" s="432" t="n">
        <v>0.125</v>
      </c>
      <c r="F46" s="432" t="n">
        <v>0</v>
      </c>
      <c r="G46" s="432" t="n">
        <v>0.0979349186483104</v>
      </c>
      <c r="H46" s="432" t="n">
        <v>0.194737568572738</v>
      </c>
      <c r="I46" s="476" t="n">
        <v>0.242734298465223</v>
      </c>
      <c r="J46" s="476" t="n">
        <v>0.577110547865081</v>
      </c>
      <c r="K46" s="476" t="n">
        <v>1.44119271120928</v>
      </c>
      <c r="L46" s="432" t="n">
        <v>0.0699068685092315</v>
      </c>
      <c r="M46" s="432" t="n">
        <v>0.0744602095080735</v>
      </c>
      <c r="N46" s="432" t="n">
        <v>0.08582873706497</v>
      </c>
      <c r="O46" s="476" t="n">
        <v>0.277579444465771</v>
      </c>
      <c r="P46" s="476" t="n">
        <v>0.745405959328591</v>
      </c>
      <c r="Q46" s="476" t="n">
        <v>1.23602894336497</v>
      </c>
      <c r="R46" s="432" t="n">
        <v>0.0207926070730407</v>
      </c>
      <c r="S46" s="432" t="n">
        <v>0.168650479606764</v>
      </c>
      <c r="T46" s="432" t="n">
        <v>0.45751925447982</v>
      </c>
      <c r="U46" s="427"/>
      <c r="V46" s="427"/>
    </row>
    <row r="47" customFormat="false" ht="12.75" hidden="false" customHeight="true" outlineLevel="0" collapsed="false">
      <c r="A47" s="486" t="s">
        <v>653</v>
      </c>
      <c r="B47" s="487" t="n">
        <v>588</v>
      </c>
      <c r="C47" s="432" t="n">
        <v>0.0151</v>
      </c>
      <c r="D47" s="432" t="n">
        <v>0.0585</v>
      </c>
      <c r="E47" s="432" t="n">
        <v>0.135</v>
      </c>
      <c r="F47" s="432" t="n">
        <v>-0.0173673328738801</v>
      </c>
      <c r="G47" s="432" t="n">
        <v>0.0571273677846211</v>
      </c>
      <c r="H47" s="432" t="n">
        <v>0.127157894736842</v>
      </c>
      <c r="I47" s="476" t="n">
        <v>0.774857954545455</v>
      </c>
      <c r="J47" s="476" t="n">
        <v>1.40202702702703</v>
      </c>
      <c r="K47" s="476" t="n">
        <v>2.50421382133398</v>
      </c>
      <c r="L47" s="432" t="n">
        <v>0.0739319041344551</v>
      </c>
      <c r="M47" s="432" t="n">
        <v>0.0779230188584474</v>
      </c>
      <c r="N47" s="432" t="n">
        <v>0.0853223576290846</v>
      </c>
      <c r="O47" s="476" t="n">
        <v>0.255312187007769</v>
      </c>
      <c r="P47" s="476" t="n">
        <v>0.692878069940485</v>
      </c>
      <c r="Q47" s="476" t="n">
        <v>1.2472518953078</v>
      </c>
      <c r="R47" s="432" t="n">
        <v>0.00271132954872515</v>
      </c>
      <c r="S47" s="432" t="n">
        <v>0.063953488372093</v>
      </c>
      <c r="T47" s="432" t="n">
        <v>0.270552653285675</v>
      </c>
      <c r="U47" s="427"/>
      <c r="V47" s="427"/>
    </row>
    <row r="48" customFormat="false" ht="12.75" hidden="false" customHeight="true" outlineLevel="0" collapsed="false">
      <c r="A48" s="486" t="s">
        <v>1117</v>
      </c>
      <c r="B48" s="487" t="n">
        <v>86</v>
      </c>
      <c r="C48" s="432" t="n">
        <v>0.00592</v>
      </c>
      <c r="D48" s="432" t="n">
        <v>0.0599</v>
      </c>
      <c r="E48" s="432" t="n">
        <v>0.126</v>
      </c>
      <c r="F48" s="432" t="n">
        <v>0.011688654353562</v>
      </c>
      <c r="G48" s="432" t="n">
        <v>0.0766902119071645</v>
      </c>
      <c r="H48" s="432" t="n">
        <v>0.14954128440367</v>
      </c>
      <c r="I48" s="476" t="n">
        <v>0.969614624505929</v>
      </c>
      <c r="J48" s="476" t="n">
        <v>2.17749444904277</v>
      </c>
      <c r="K48" s="476" t="n">
        <v>3.22809673344311</v>
      </c>
      <c r="L48" s="432" t="n">
        <v>0.0787332971347424</v>
      </c>
      <c r="M48" s="432" t="n">
        <v>0.0844091157447165</v>
      </c>
      <c r="N48" s="432" t="n">
        <v>0.100122221316747</v>
      </c>
      <c r="O48" s="476" t="n">
        <v>0.48148186291933</v>
      </c>
      <c r="P48" s="476" t="n">
        <v>0.842801420902371</v>
      </c>
      <c r="Q48" s="476" t="n">
        <v>1.56777193775615</v>
      </c>
      <c r="R48" s="432" t="n">
        <v>0.0110826939471441</v>
      </c>
      <c r="S48" s="432" t="n">
        <v>0.12779552715655</v>
      </c>
      <c r="T48" s="432" t="n">
        <v>0.247886070315977</v>
      </c>
      <c r="U48" s="427"/>
      <c r="V48" s="427"/>
    </row>
    <row r="49" customFormat="false" ht="12.75" hidden="false" customHeight="true" outlineLevel="0" collapsed="false">
      <c r="A49" s="486" t="s">
        <v>1118</v>
      </c>
      <c r="B49" s="487" t="n">
        <v>204</v>
      </c>
      <c r="C49" s="432" t="n">
        <v>0.0395</v>
      </c>
      <c r="D49" s="432" t="n">
        <v>0.0788</v>
      </c>
      <c r="E49" s="432" t="n">
        <v>0.175</v>
      </c>
      <c r="F49" s="432" t="n">
        <v>0.0509940137462124</v>
      </c>
      <c r="G49" s="432" t="n">
        <v>0.107617878758011</v>
      </c>
      <c r="H49" s="432" t="n">
        <v>0.204391891891892</v>
      </c>
      <c r="I49" s="476" t="n">
        <v>0.954225891164313</v>
      </c>
      <c r="J49" s="476" t="n">
        <v>1.69808224797457</v>
      </c>
      <c r="K49" s="476" t="n">
        <v>3.19050189805903</v>
      </c>
      <c r="L49" s="432" t="n">
        <v>0.0625387780663229</v>
      </c>
      <c r="M49" s="432" t="n">
        <v>0.0659807078092521</v>
      </c>
      <c r="N49" s="432" t="n">
        <v>0.0746603432789021</v>
      </c>
      <c r="O49" s="476" t="n">
        <v>0.0749140958709901</v>
      </c>
      <c r="P49" s="476" t="n">
        <v>0.476903780641854</v>
      </c>
      <c r="Q49" s="476" t="n">
        <v>0.858449470654257</v>
      </c>
      <c r="R49" s="432" t="n">
        <v>0.000983227299016773</v>
      </c>
      <c r="S49" s="432" t="n">
        <v>0.0593533706267185</v>
      </c>
      <c r="T49" s="432" t="n">
        <v>0.207835094598597</v>
      </c>
      <c r="U49" s="427"/>
      <c r="V49" s="427"/>
    </row>
    <row r="50" customFormat="false" ht="12.75" hidden="false" customHeight="true" outlineLevel="0" collapsed="false">
      <c r="A50" s="486" t="s">
        <v>656</v>
      </c>
      <c r="B50" s="487" t="n">
        <v>143</v>
      </c>
      <c r="C50" s="432" t="n">
        <v>0.0159</v>
      </c>
      <c r="D50" s="432" t="n">
        <v>0.0483</v>
      </c>
      <c r="E50" s="432" t="n">
        <v>0.1</v>
      </c>
      <c r="F50" s="432" t="n">
        <v>0.0518113858539391</v>
      </c>
      <c r="G50" s="432" t="n">
        <v>0.124231242312423</v>
      </c>
      <c r="H50" s="432" t="n">
        <v>0.233205705887993</v>
      </c>
      <c r="I50" s="476" t="n">
        <v>0.630587584523094</v>
      </c>
      <c r="J50" s="476" t="n">
        <v>1.37191854233655</v>
      </c>
      <c r="K50" s="476" t="n">
        <v>3.39654533161763</v>
      </c>
      <c r="L50" s="432" t="n">
        <v>0.0730759232331209</v>
      </c>
      <c r="M50" s="432" t="n">
        <v>0.0795484233435043</v>
      </c>
      <c r="N50" s="432" t="n">
        <v>0.11950108785006</v>
      </c>
      <c r="O50" s="476" t="n">
        <v>0.257786326725325</v>
      </c>
      <c r="P50" s="476" t="n">
        <v>0.711010081709197</v>
      </c>
      <c r="Q50" s="476" t="n">
        <v>1.16106143187795</v>
      </c>
      <c r="R50" s="432" t="n">
        <v>0.0165686798503474</v>
      </c>
      <c r="S50" s="432" t="n">
        <v>0.132933342504721</v>
      </c>
      <c r="T50" s="432" t="n">
        <v>0.35744322960471</v>
      </c>
      <c r="U50" s="427"/>
      <c r="V50" s="427"/>
    </row>
    <row r="51" customFormat="false" ht="12.75" hidden="false" customHeight="true" outlineLevel="0" collapsed="false">
      <c r="A51" s="486" t="s">
        <v>1119</v>
      </c>
      <c r="B51" s="487" t="n">
        <v>248</v>
      </c>
      <c r="C51" s="432" t="n">
        <v>0.0343</v>
      </c>
      <c r="D51" s="432" t="n">
        <v>0.06</v>
      </c>
      <c r="E51" s="432" t="n">
        <v>0.0985</v>
      </c>
      <c r="F51" s="432" t="n">
        <v>0.0733812949640288</v>
      </c>
      <c r="G51" s="432" t="n">
        <v>0.138301641667651</v>
      </c>
      <c r="H51" s="432" t="n">
        <v>0.205821205821206</v>
      </c>
      <c r="I51" s="476" t="n">
        <v>0.838942307692308</v>
      </c>
      <c r="J51" s="476" t="n">
        <v>1.47915669019596</v>
      </c>
      <c r="K51" s="476" t="n">
        <v>2.82290962493298</v>
      </c>
      <c r="L51" s="432" t="n">
        <v>0.0577606442223589</v>
      </c>
      <c r="M51" s="432" t="n">
        <v>0.0649728646116929</v>
      </c>
      <c r="N51" s="432" t="n">
        <v>0.0863037250815978</v>
      </c>
      <c r="O51" s="476" t="n">
        <v>0.109481969256807</v>
      </c>
      <c r="P51" s="476" t="n">
        <v>0.409659146934322</v>
      </c>
      <c r="Q51" s="476" t="n">
        <v>0.793842002260739</v>
      </c>
      <c r="R51" s="432" t="n">
        <v>0.00400634296354453</v>
      </c>
      <c r="S51" s="432" t="n">
        <v>0.0537084398976982</v>
      </c>
      <c r="T51" s="432" t="n">
        <v>0.164424744652149</v>
      </c>
      <c r="U51" s="427"/>
      <c r="V51" s="427"/>
    </row>
    <row r="52" customFormat="false" ht="12.75" hidden="false" customHeight="true" outlineLevel="0" collapsed="false">
      <c r="A52" s="486" t="s">
        <v>1120</v>
      </c>
      <c r="B52" s="487" t="n">
        <v>1315</v>
      </c>
      <c r="C52" s="432" t="n">
        <v>0.00953</v>
      </c>
      <c r="D52" s="432" t="n">
        <v>0.0758</v>
      </c>
      <c r="E52" s="432" t="n">
        <v>0.162</v>
      </c>
      <c r="F52" s="432" t="n">
        <v>0</v>
      </c>
      <c r="G52" s="432" t="n">
        <v>0.178832116788321</v>
      </c>
      <c r="H52" s="432" t="n">
        <v>0.625407166123778</v>
      </c>
      <c r="I52" s="476" t="n">
        <v>0.000314218381775334</v>
      </c>
      <c r="J52" s="476" t="n">
        <v>0.0993741907639189</v>
      </c>
      <c r="K52" s="476" t="n">
        <v>0.588235294117647</v>
      </c>
      <c r="L52" s="432" t="n">
        <v>0.063150450175781</v>
      </c>
      <c r="M52" s="432" t="n">
        <v>0.065555162583441</v>
      </c>
      <c r="N52" s="432" t="n">
        <v>0.0724203748033758</v>
      </c>
      <c r="O52" s="476" t="n">
        <v>0.124536123837677</v>
      </c>
      <c r="P52" s="476" t="n">
        <v>0.617667970055884</v>
      </c>
      <c r="Q52" s="476" t="n">
        <v>1.1826337085546</v>
      </c>
      <c r="R52" s="432" t="n">
        <v>0</v>
      </c>
      <c r="S52" s="432" t="n">
        <v>0.0133108175225986</v>
      </c>
      <c r="T52" s="432" t="n">
        <v>0.146653543307087</v>
      </c>
      <c r="U52" s="427"/>
      <c r="V52" s="427"/>
    </row>
    <row r="53" customFormat="false" ht="12.75" hidden="false" customHeight="true" outlineLevel="0" collapsed="false">
      <c r="A53" s="486" t="s">
        <v>662</v>
      </c>
      <c r="B53" s="487" t="n">
        <v>1553</v>
      </c>
      <c r="C53" s="432" t="n">
        <v>0.0311</v>
      </c>
      <c r="D53" s="432" t="n">
        <v>0.0797</v>
      </c>
      <c r="E53" s="432" t="n">
        <v>0.161</v>
      </c>
      <c r="F53" s="432" t="n">
        <v>-0.000145348837209302</v>
      </c>
      <c r="G53" s="432" t="n">
        <v>0.0645940721649485</v>
      </c>
      <c r="H53" s="432" t="n">
        <v>0.125493291239148</v>
      </c>
      <c r="I53" s="476" t="n">
        <v>0.718225887334931</v>
      </c>
      <c r="J53" s="476" t="n">
        <v>1.17725976857287</v>
      </c>
      <c r="K53" s="476" t="n">
        <v>1.78241949521323</v>
      </c>
      <c r="L53" s="432" t="n">
        <v>0.100462276051927</v>
      </c>
      <c r="M53" s="432" t="n">
        <v>0.10599628193461</v>
      </c>
      <c r="N53" s="432" t="n">
        <v>0.107902681837726</v>
      </c>
      <c r="O53" s="476" t="n">
        <v>0.700615547667657</v>
      </c>
      <c r="P53" s="476" t="n">
        <v>1.28526800366025</v>
      </c>
      <c r="Q53" s="476" t="n">
        <v>2.00690680114796</v>
      </c>
      <c r="R53" s="432" t="n">
        <v>0.0174216027874565</v>
      </c>
      <c r="S53" s="432" t="n">
        <v>0.0941040293483587</v>
      </c>
      <c r="T53" s="432" t="n">
        <v>0.2461500655308</v>
      </c>
      <c r="U53" s="427"/>
      <c r="V53" s="427"/>
    </row>
    <row r="54" customFormat="false" ht="12.75" hidden="false" customHeight="true" outlineLevel="0" collapsed="false">
      <c r="A54" s="486" t="s">
        <v>1121</v>
      </c>
      <c r="B54" s="487" t="n">
        <v>1874</v>
      </c>
      <c r="C54" s="432" t="n">
        <v>0.0608</v>
      </c>
      <c r="D54" s="432" t="n">
        <v>0.124</v>
      </c>
      <c r="E54" s="432" t="n">
        <v>0.236</v>
      </c>
      <c r="F54" s="432" t="s">
        <v>1093</v>
      </c>
      <c r="G54" s="432" t="n">
        <v>0.00217391304347826</v>
      </c>
      <c r="H54" s="432" t="n">
        <v>0.0883484162895928</v>
      </c>
      <c r="I54" s="476" t="n">
        <v>0</v>
      </c>
      <c r="J54" s="476" t="n">
        <v>0</v>
      </c>
      <c r="K54" s="476" t="n">
        <v>0.558676125765056</v>
      </c>
      <c r="L54" s="432" t="n">
        <v>0.0868195605379707</v>
      </c>
      <c r="M54" s="432" t="n">
        <v>0.0868369183449582</v>
      </c>
      <c r="N54" s="432" t="n">
        <v>0.0921360158703641</v>
      </c>
      <c r="O54" s="476" t="n">
        <v>0.48171589528316</v>
      </c>
      <c r="P54" s="476" t="n">
        <v>1.15344201952309</v>
      </c>
      <c r="Q54" s="476" t="n">
        <v>1.829079155618</v>
      </c>
      <c r="R54" s="432" t="n">
        <v>0</v>
      </c>
      <c r="S54" s="432" t="n">
        <v>0.00529519473449795</v>
      </c>
      <c r="T54" s="432" t="n">
        <v>0.126315140555647</v>
      </c>
      <c r="U54" s="427"/>
      <c r="V54" s="427"/>
    </row>
    <row r="55" customFormat="false" ht="12.75" hidden="false" customHeight="true" outlineLevel="0" collapsed="false">
      <c r="A55" s="486" t="s">
        <v>1122</v>
      </c>
      <c r="B55" s="487" t="n">
        <v>139</v>
      </c>
      <c r="C55" s="432" t="n">
        <v>0.0282</v>
      </c>
      <c r="D55" s="432" t="n">
        <v>0.0461</v>
      </c>
      <c r="E55" s="432" t="n">
        <v>0.0936</v>
      </c>
      <c r="F55" s="432" t="n">
        <v>0.000425859415084659</v>
      </c>
      <c r="G55" s="432" t="n">
        <v>0.0509694352722039</v>
      </c>
      <c r="H55" s="432" t="n">
        <v>0.0923411681384951</v>
      </c>
      <c r="I55" s="476" t="n">
        <v>0.818330605564648</v>
      </c>
      <c r="J55" s="476" t="n">
        <v>1.50273558815753</v>
      </c>
      <c r="K55" s="476" t="n">
        <v>2.37924865831843</v>
      </c>
      <c r="L55" s="432" t="n">
        <v>0.0726186770438847</v>
      </c>
      <c r="M55" s="432" t="n">
        <v>0.0758205636415148</v>
      </c>
      <c r="N55" s="432" t="n">
        <v>0.0880485138147078</v>
      </c>
      <c r="O55" s="476" t="n">
        <v>0.322773891864267</v>
      </c>
      <c r="P55" s="476" t="n">
        <v>0.679332980737103</v>
      </c>
      <c r="Q55" s="476" t="n">
        <v>1.08153211384152</v>
      </c>
      <c r="R55" s="432" t="n">
        <v>0.0129007036747459</v>
      </c>
      <c r="S55" s="432" t="n">
        <v>0.127109337559379</v>
      </c>
      <c r="T55" s="432" t="n">
        <v>0.313881874079759</v>
      </c>
      <c r="U55" s="427"/>
      <c r="V55" s="427"/>
    </row>
    <row r="56" customFormat="false" ht="12.75" hidden="false" customHeight="true" outlineLevel="0" collapsed="false">
      <c r="A56" s="486" t="s">
        <v>1123</v>
      </c>
      <c r="B56" s="487" t="n">
        <v>34</v>
      </c>
      <c r="C56" s="432" t="n">
        <v>-0.0468</v>
      </c>
      <c r="D56" s="432" t="n">
        <v>-0.0312</v>
      </c>
      <c r="E56" s="432" t="n">
        <v>-0.0181</v>
      </c>
      <c r="F56" s="432" t="n">
        <v>0.0509587487183962</v>
      </c>
      <c r="G56" s="432" t="n">
        <v>0.104077150397703</v>
      </c>
      <c r="H56" s="432" t="n">
        <v>0.155074875207987</v>
      </c>
      <c r="I56" s="476" t="n">
        <v>0.779872514991633</v>
      </c>
      <c r="J56" s="476" t="n">
        <v>1.30979443419509</v>
      </c>
      <c r="K56" s="476" t="n">
        <v>1.78263952421341</v>
      </c>
      <c r="L56" s="432" t="n">
        <v>0.0667908747346901</v>
      </c>
      <c r="M56" s="432" t="n">
        <v>0.0708513030108653</v>
      </c>
      <c r="N56" s="432" t="n">
        <v>0.080928586924178</v>
      </c>
      <c r="O56" s="476" t="n">
        <v>0.24707810699298</v>
      </c>
      <c r="P56" s="476" t="n">
        <v>0.615374986224322</v>
      </c>
      <c r="Q56" s="476" t="n">
        <v>0.900039691675824</v>
      </c>
      <c r="R56" s="432" t="n">
        <v>0.120313674938232</v>
      </c>
      <c r="S56" s="432" t="n">
        <v>0.310421462020795</v>
      </c>
      <c r="T56" s="432" t="n">
        <v>0.414478402607987</v>
      </c>
      <c r="U56" s="427"/>
      <c r="V56" s="427"/>
    </row>
    <row r="57" customFormat="false" ht="12.75" hidden="false" customHeight="true" outlineLevel="0" collapsed="false">
      <c r="A57" s="486" t="s">
        <v>1124</v>
      </c>
      <c r="B57" s="487" t="n">
        <v>539</v>
      </c>
      <c r="C57" s="432" t="n">
        <v>-0.0437</v>
      </c>
      <c r="D57" s="432" t="n">
        <v>0.048</v>
      </c>
      <c r="E57" s="432" t="n">
        <v>0.233</v>
      </c>
      <c r="F57" s="432" t="n">
        <v>-0.327631578947368</v>
      </c>
      <c r="G57" s="432" t="n">
        <v>0.121311475409836</v>
      </c>
      <c r="H57" s="432" t="n">
        <v>0.30812324929972</v>
      </c>
      <c r="I57" s="476" t="n">
        <v>0.0801554529997571</v>
      </c>
      <c r="J57" s="476" t="n">
        <v>0.398060779220732</v>
      </c>
      <c r="K57" s="476" t="n">
        <v>0.695273631840796</v>
      </c>
      <c r="L57" s="432" t="n">
        <v>0.069637357264509</v>
      </c>
      <c r="M57" s="432" t="n">
        <v>0.0712254997190561</v>
      </c>
      <c r="N57" s="432" t="n">
        <v>0.0755211297274074</v>
      </c>
      <c r="O57" s="476" t="n">
        <v>0.26723350225349</v>
      </c>
      <c r="P57" s="476" t="n">
        <v>0.688368304862375</v>
      </c>
      <c r="Q57" s="476" t="n">
        <v>1.24924491068257</v>
      </c>
      <c r="R57" s="432" t="n">
        <v>0</v>
      </c>
      <c r="S57" s="432" t="n">
        <v>0.095292766934558</v>
      </c>
      <c r="T57" s="432" t="n">
        <v>0.354771784232365</v>
      </c>
      <c r="U57" s="427"/>
      <c r="V57" s="427"/>
    </row>
    <row r="58" customFormat="false" ht="12.75" hidden="false" customHeight="true" outlineLevel="0" collapsed="false">
      <c r="A58" s="486" t="s">
        <v>1125</v>
      </c>
      <c r="B58" s="487" t="n">
        <v>186</v>
      </c>
      <c r="C58" s="432" t="n">
        <v>0.00865</v>
      </c>
      <c r="D58" s="432" t="n">
        <v>0.0573</v>
      </c>
      <c r="E58" s="432" t="n">
        <v>0.111</v>
      </c>
      <c r="F58" s="432" t="n">
        <v>0.0137956748695004</v>
      </c>
      <c r="G58" s="432" t="n">
        <v>0.109439720950512</v>
      </c>
      <c r="H58" s="432" t="n">
        <v>0.248780487804878</v>
      </c>
      <c r="I58" s="476" t="n">
        <v>0.333184190902312</v>
      </c>
      <c r="J58" s="476" t="n">
        <v>0.798573017758621</v>
      </c>
      <c r="K58" s="476" t="n">
        <v>2.93922651933702</v>
      </c>
      <c r="L58" s="432" t="n">
        <v>0.0589104608205727</v>
      </c>
      <c r="M58" s="432" t="n">
        <v>0.0652546235214713</v>
      </c>
      <c r="N58" s="432" t="n">
        <v>0.0715997800667224</v>
      </c>
      <c r="O58" s="476" t="n">
        <v>0.288736862999748</v>
      </c>
      <c r="P58" s="476" t="n">
        <v>0.622484037015029</v>
      </c>
      <c r="Q58" s="476" t="n">
        <v>1.05386457065386</v>
      </c>
      <c r="R58" s="432" t="n">
        <v>0.0727610017520355</v>
      </c>
      <c r="S58" s="432" t="n">
        <v>0.261940077128449</v>
      </c>
      <c r="T58" s="432" t="n">
        <v>0.496</v>
      </c>
      <c r="U58" s="427"/>
      <c r="V58" s="427"/>
    </row>
    <row r="59" customFormat="false" ht="12.75" hidden="false" customHeight="true" outlineLevel="0" collapsed="false">
      <c r="A59" s="486" t="s">
        <v>1126</v>
      </c>
      <c r="B59" s="487" t="n">
        <v>431</v>
      </c>
      <c r="C59" s="432" t="n">
        <v>-0.0372</v>
      </c>
      <c r="D59" s="432" t="n">
        <v>0.0184</v>
      </c>
      <c r="E59" s="432" t="n">
        <v>0.109</v>
      </c>
      <c r="F59" s="432" t="n">
        <v>0.00248698884758364</v>
      </c>
      <c r="G59" s="432" t="n">
        <v>0.0334878331402086</v>
      </c>
      <c r="H59" s="432" t="n">
        <v>0.105110547299746</v>
      </c>
      <c r="I59" s="476" t="n">
        <v>0.786612070500267</v>
      </c>
      <c r="J59" s="476" t="n">
        <v>1.57786171279976</v>
      </c>
      <c r="K59" s="476" t="n">
        <v>3.12130691692736</v>
      </c>
      <c r="L59" s="432" t="n">
        <v>0.0718519955735551</v>
      </c>
      <c r="M59" s="432" t="n">
        <v>0.0771346823186692</v>
      </c>
      <c r="N59" s="432" t="n">
        <v>0.0881054527641168</v>
      </c>
      <c r="O59" s="476" t="n">
        <v>0.391390502106358</v>
      </c>
      <c r="P59" s="476" t="n">
        <v>0.878343389537258</v>
      </c>
      <c r="Q59" s="476" t="n">
        <v>1.33106337824</v>
      </c>
      <c r="R59" s="432" t="n">
        <v>0.0392057883223961</v>
      </c>
      <c r="S59" s="432" t="n">
        <v>0.190175696000605</v>
      </c>
      <c r="T59" s="432" t="n">
        <v>0.450075407692192</v>
      </c>
      <c r="U59" s="427"/>
      <c r="V59" s="427"/>
    </row>
    <row r="60" customFormat="false" ht="12.75" hidden="false" customHeight="true" outlineLevel="0" collapsed="false">
      <c r="A60" s="486" t="s">
        <v>674</v>
      </c>
      <c r="B60" s="487" t="n">
        <v>438</v>
      </c>
      <c r="C60" s="432" t="n">
        <v>0.00209</v>
      </c>
      <c r="D60" s="432" t="n">
        <v>0.0571</v>
      </c>
      <c r="E60" s="432" t="n">
        <v>0.104</v>
      </c>
      <c r="F60" s="432" t="n">
        <v>0.0135781858653311</v>
      </c>
      <c r="G60" s="432" t="n">
        <v>0.0512605042016807</v>
      </c>
      <c r="H60" s="432" t="n">
        <v>0.0937007874015748</v>
      </c>
      <c r="I60" s="476" t="n">
        <v>0.814922884535223</v>
      </c>
      <c r="J60" s="476" t="n">
        <v>1.2088673363353</v>
      </c>
      <c r="K60" s="476" t="n">
        <v>1.77060931899642</v>
      </c>
      <c r="L60" s="432" t="n">
        <v>0.0675919346233994</v>
      </c>
      <c r="M60" s="432" t="n">
        <v>0.0753946195928574</v>
      </c>
      <c r="N60" s="432" t="n">
        <v>0.0797529153647186</v>
      </c>
      <c r="O60" s="476" t="n">
        <v>0.22752569479522</v>
      </c>
      <c r="P60" s="476" t="n">
        <v>0.671917698382619</v>
      </c>
      <c r="Q60" s="476" t="n">
        <v>1.2356531928789</v>
      </c>
      <c r="R60" s="432" t="n">
        <v>0.0492686682063126</v>
      </c>
      <c r="S60" s="432" t="n">
        <v>0.22133904599913</v>
      </c>
      <c r="T60" s="432" t="n">
        <v>0.448123620309051</v>
      </c>
      <c r="U60" s="427"/>
      <c r="V60" s="427"/>
    </row>
    <row r="61" customFormat="false" ht="12.75" hidden="false" customHeight="true" outlineLevel="0" collapsed="false">
      <c r="A61" s="486" t="s">
        <v>1127</v>
      </c>
      <c r="B61" s="487" t="n">
        <v>271</v>
      </c>
      <c r="C61" s="432" t="n">
        <v>-0.00868</v>
      </c>
      <c r="D61" s="432" t="n">
        <v>0.0246</v>
      </c>
      <c r="E61" s="432" t="n">
        <v>0.0709</v>
      </c>
      <c r="F61" s="432" t="n">
        <v>-0.0171099642715363</v>
      </c>
      <c r="G61" s="432" t="n">
        <v>0.0270833333333333</v>
      </c>
      <c r="H61" s="432" t="n">
        <v>0.0621945105015276</v>
      </c>
      <c r="I61" s="476" t="n">
        <v>0.571200032815801</v>
      </c>
      <c r="J61" s="476" t="n">
        <v>0.895392953929539</v>
      </c>
      <c r="K61" s="476" t="n">
        <v>1.3926988816206</v>
      </c>
      <c r="L61" s="432" t="n">
        <v>0.0672356494043155</v>
      </c>
      <c r="M61" s="432" t="n">
        <v>0.071129647906503</v>
      </c>
      <c r="N61" s="432" t="n">
        <v>0.0812134741734478</v>
      </c>
      <c r="O61" s="476" t="n">
        <v>0.330131123658853</v>
      </c>
      <c r="P61" s="476" t="n">
        <v>0.872443517903087</v>
      </c>
      <c r="Q61" s="476" t="n">
        <v>1.45619775241638</v>
      </c>
      <c r="R61" s="432" t="n">
        <v>0.073240589198036</v>
      </c>
      <c r="S61" s="432" t="n">
        <v>0.297401347449471</v>
      </c>
      <c r="T61" s="432" t="n">
        <v>0.539959016393443</v>
      </c>
      <c r="U61" s="427"/>
      <c r="V61" s="427"/>
    </row>
    <row r="62" customFormat="false" ht="12.75" hidden="false" customHeight="true" outlineLevel="0" collapsed="false">
      <c r="A62" s="486" t="s">
        <v>1128</v>
      </c>
      <c r="B62" s="487" t="n">
        <v>486</v>
      </c>
      <c r="C62" s="432" t="n">
        <v>-0.00362</v>
      </c>
      <c r="D62" s="432" t="n">
        <v>0.0358</v>
      </c>
      <c r="E62" s="432" t="n">
        <v>0.0792</v>
      </c>
      <c r="F62" s="432" t="n">
        <v>0.0548938373899534</v>
      </c>
      <c r="G62" s="432" t="n">
        <v>0.117156862745098</v>
      </c>
      <c r="H62" s="432" t="n">
        <v>0.207328764329132</v>
      </c>
      <c r="I62" s="476" t="n">
        <v>0.371982133320568</v>
      </c>
      <c r="J62" s="476" t="n">
        <v>0.651589546322823</v>
      </c>
      <c r="K62" s="476" t="n">
        <v>1.32294492461043</v>
      </c>
      <c r="L62" s="432" t="n">
        <v>0.0598670590941892</v>
      </c>
      <c r="M62" s="432" t="n">
        <v>0.0629271081021599</v>
      </c>
      <c r="N62" s="432" t="n">
        <v>0.0717473533948575</v>
      </c>
      <c r="O62" s="476" t="n">
        <v>0.268602215760747</v>
      </c>
      <c r="P62" s="476" t="n">
        <v>0.659178256720905</v>
      </c>
      <c r="Q62" s="476" t="n">
        <v>1.11919137511932</v>
      </c>
      <c r="R62" s="432" t="n">
        <v>0.0890092879256966</v>
      </c>
      <c r="S62" s="432" t="n">
        <v>0.363014340143801</v>
      </c>
      <c r="T62" s="432" t="n">
        <v>0.55</v>
      </c>
      <c r="U62" s="427"/>
      <c r="V62" s="427"/>
    </row>
    <row r="63" customFormat="false" ht="12.75" hidden="false" customHeight="true" outlineLevel="0" collapsed="false">
      <c r="A63" s="486" t="s">
        <v>1129</v>
      </c>
      <c r="B63" s="487" t="n">
        <v>777</v>
      </c>
      <c r="C63" s="432" t="n">
        <v>0.257</v>
      </c>
      <c r="D63" s="432" t="n">
        <v>0.375</v>
      </c>
      <c r="E63" s="432" t="n">
        <v>0.638</v>
      </c>
      <c r="F63" s="432" t="s">
        <v>1093</v>
      </c>
      <c r="G63" s="432" t="n">
        <v>0.0621064539332691</v>
      </c>
      <c r="H63" s="432" t="n">
        <v>0.32639405204461</v>
      </c>
      <c r="I63" s="476" t="n">
        <v>0</v>
      </c>
      <c r="J63" s="476" t="n">
        <v>0</v>
      </c>
      <c r="K63" s="476" t="n">
        <v>0.410714285714286</v>
      </c>
      <c r="L63" s="432" t="n">
        <v>0.0975082331526411</v>
      </c>
      <c r="M63" s="432" t="n">
        <v>0.0975989955243669</v>
      </c>
      <c r="N63" s="432" t="n">
        <v>0.0977886093126887</v>
      </c>
      <c r="O63" s="476" t="n">
        <v>0.730560494920627</v>
      </c>
      <c r="P63" s="476" t="n">
        <v>1.32640393986472</v>
      </c>
      <c r="Q63" s="476" t="n">
        <v>1.99394386963016</v>
      </c>
      <c r="R63" s="432" t="n">
        <v>0</v>
      </c>
      <c r="S63" s="432" t="n">
        <v>0.00139025465396223</v>
      </c>
      <c r="T63" s="432" t="n">
        <v>0.053206002728513</v>
      </c>
      <c r="U63" s="427"/>
      <c r="V63" s="427"/>
    </row>
    <row r="64" customFormat="false" ht="12.75" hidden="false" customHeight="true" outlineLevel="0" collapsed="false">
      <c r="A64" s="486" t="s">
        <v>1130</v>
      </c>
      <c r="B64" s="487" t="n">
        <v>307</v>
      </c>
      <c r="C64" s="432" t="n">
        <v>-0.00617</v>
      </c>
      <c r="D64" s="432" t="n">
        <v>0.0338</v>
      </c>
      <c r="E64" s="432" t="n">
        <v>0.0592</v>
      </c>
      <c r="F64" s="432" t="n">
        <v>-0.0509039010466223</v>
      </c>
      <c r="G64" s="432" t="n">
        <v>0.0404385964912281</v>
      </c>
      <c r="H64" s="432" t="n">
        <v>0.103092160888996</v>
      </c>
      <c r="I64" s="476" t="n">
        <v>0.67296252230815</v>
      </c>
      <c r="J64" s="476" t="n">
        <v>1.30245231607629</v>
      </c>
      <c r="K64" s="476" t="n">
        <v>2.3071948261924</v>
      </c>
      <c r="L64" s="432" t="n">
        <v>0.0760728458108119</v>
      </c>
      <c r="M64" s="432" t="n">
        <v>0.0791359578550478</v>
      </c>
      <c r="N64" s="432" t="n">
        <v>0.0886817835019732</v>
      </c>
      <c r="O64" s="476" t="n">
        <v>0.279543846322396</v>
      </c>
      <c r="P64" s="476" t="n">
        <v>0.668707628084364</v>
      </c>
      <c r="Q64" s="476" t="n">
        <v>1.21690107803739</v>
      </c>
      <c r="R64" s="432" t="n">
        <v>0.00979465589827305</v>
      </c>
      <c r="S64" s="432" t="n">
        <v>0.106463036741921</v>
      </c>
      <c r="T64" s="432" t="n">
        <v>0.34971098265896</v>
      </c>
      <c r="U64" s="427"/>
      <c r="V64" s="427"/>
    </row>
    <row r="65" customFormat="false" ht="12.75" hidden="false" customHeight="true" outlineLevel="0" collapsed="false">
      <c r="A65" s="486" t="s">
        <v>680</v>
      </c>
      <c r="B65" s="487" t="n">
        <v>643</v>
      </c>
      <c r="C65" s="432" t="n">
        <v>-0.012</v>
      </c>
      <c r="D65" s="432" t="n">
        <v>0.0302</v>
      </c>
      <c r="E65" s="432" t="n">
        <v>0.0873</v>
      </c>
      <c r="F65" s="432" t="n">
        <v>0.185845519165464</v>
      </c>
      <c r="G65" s="432" t="n">
        <v>0.5</v>
      </c>
      <c r="H65" s="432" t="n">
        <v>0.647800296589224</v>
      </c>
      <c r="I65" s="476" t="n">
        <v>0.0632931988285063</v>
      </c>
      <c r="J65" s="476" t="n">
        <v>0.0899493022526525</v>
      </c>
      <c r="K65" s="476" t="n">
        <v>0.135010385414263</v>
      </c>
      <c r="L65" s="432" t="n">
        <v>0.0532882819693801</v>
      </c>
      <c r="M65" s="432" t="n">
        <v>0.0553802414178879</v>
      </c>
      <c r="N65" s="432" t="n">
        <v>0.0626095592070091</v>
      </c>
      <c r="O65" s="476" t="n">
        <v>0.229243788303054</v>
      </c>
      <c r="P65" s="476" t="n">
        <v>0.528926809161878</v>
      </c>
      <c r="Q65" s="476" t="n">
        <v>0.81049025044557</v>
      </c>
      <c r="R65" s="432" t="n">
        <v>0.177418585800792</v>
      </c>
      <c r="S65" s="432" t="n">
        <v>0.395644920537361</v>
      </c>
      <c r="T65" s="432" t="n">
        <v>0.547302513080024</v>
      </c>
      <c r="U65" s="427"/>
      <c r="V65" s="427"/>
    </row>
    <row r="66" customFormat="false" ht="12.75" hidden="false" customHeight="true" outlineLevel="0" collapsed="false">
      <c r="A66" s="486" t="s">
        <v>1131</v>
      </c>
      <c r="B66" s="487" t="n">
        <v>895</v>
      </c>
      <c r="C66" s="432" t="n">
        <v>-0.0411</v>
      </c>
      <c r="D66" s="432" t="n">
        <v>0.0573</v>
      </c>
      <c r="E66" s="432" t="n">
        <v>0.198</v>
      </c>
      <c r="F66" s="432" t="n">
        <v>-0.0960574096489711</v>
      </c>
      <c r="G66" s="432" t="n">
        <v>0.0838500429266432</v>
      </c>
      <c r="H66" s="432" t="n">
        <v>0.223214285714286</v>
      </c>
      <c r="I66" s="476" t="n">
        <v>0.112356465904566</v>
      </c>
      <c r="J66" s="476" t="n">
        <v>0.254178674351585</v>
      </c>
      <c r="K66" s="476" t="n">
        <v>0.584913060530788</v>
      </c>
      <c r="L66" s="432" t="n">
        <v>0.0616439428426795</v>
      </c>
      <c r="M66" s="432" t="n">
        <v>0.0677198663518184</v>
      </c>
      <c r="N66" s="432" t="n">
        <v>0.0709770687644022</v>
      </c>
      <c r="O66" s="476" t="n">
        <v>0.27812660998023</v>
      </c>
      <c r="P66" s="476" t="n">
        <v>0.780139074594277</v>
      </c>
      <c r="Q66" s="476" t="n">
        <v>1.4366425327257</v>
      </c>
      <c r="R66" s="432" t="n">
        <v>0.0889276373147341</v>
      </c>
      <c r="S66" s="432" t="n">
        <v>0.341088491898629</v>
      </c>
      <c r="T66" s="432" t="n">
        <v>0.668110343751219</v>
      </c>
      <c r="U66" s="427"/>
      <c r="V66" s="427"/>
    </row>
    <row r="67" customFormat="false" ht="12.75" hidden="false" customHeight="true" outlineLevel="0" collapsed="false">
      <c r="A67" s="486" t="s">
        <v>1132</v>
      </c>
      <c r="B67" s="487" t="n">
        <v>312</v>
      </c>
      <c r="C67" s="432" t="n">
        <v>0.0316</v>
      </c>
      <c r="D67" s="432" t="n">
        <v>0.0835</v>
      </c>
      <c r="E67" s="432" t="n">
        <v>0.166</v>
      </c>
      <c r="F67" s="432" t="n">
        <v>0.0387443157394299</v>
      </c>
      <c r="G67" s="432" t="n">
        <v>0.167437379576108</v>
      </c>
      <c r="H67" s="432" t="n">
        <v>0.338733660681818</v>
      </c>
      <c r="I67" s="476" t="n">
        <v>0.0788000359270681</v>
      </c>
      <c r="J67" s="476" t="n">
        <v>0.193283490623851</v>
      </c>
      <c r="K67" s="476" t="n">
        <v>0.452420701168614</v>
      </c>
      <c r="L67" s="432" t="n">
        <v>0.0669289322482729</v>
      </c>
      <c r="M67" s="432" t="n">
        <v>0.0701182321841114</v>
      </c>
      <c r="N67" s="432" t="n">
        <v>0.0799010812134741</v>
      </c>
      <c r="O67" s="476" t="n">
        <v>0.29266218082087</v>
      </c>
      <c r="P67" s="476" t="n">
        <v>0.76293904559627</v>
      </c>
      <c r="Q67" s="476" t="n">
        <v>1.4537474025038</v>
      </c>
      <c r="R67" s="432" t="n">
        <v>0.0411187643498226</v>
      </c>
      <c r="S67" s="432" t="n">
        <v>0.323481116584565</v>
      </c>
      <c r="T67" s="432" t="n">
        <v>0.566492837163281</v>
      </c>
      <c r="U67" s="427"/>
      <c r="V67" s="427"/>
    </row>
    <row r="68" customFormat="false" ht="12.75" hidden="false" customHeight="true" outlineLevel="0" collapsed="false">
      <c r="A68" s="486" t="s">
        <v>1133</v>
      </c>
      <c r="B68" s="487" t="n">
        <v>752</v>
      </c>
      <c r="C68" s="432" t="n">
        <v>0.0235</v>
      </c>
      <c r="D68" s="432" t="n">
        <v>0.0689</v>
      </c>
      <c r="E68" s="432" t="n">
        <v>0.143</v>
      </c>
      <c r="F68" s="432" t="n">
        <v>0.0472685005811701</v>
      </c>
      <c r="G68" s="432" t="n">
        <v>0.27278477033964</v>
      </c>
      <c r="H68" s="432" t="n">
        <v>0.57703081232493</v>
      </c>
      <c r="I68" s="476" t="n">
        <v>0.0695339143615006</v>
      </c>
      <c r="J68" s="476" t="n">
        <v>0.128305158214131</v>
      </c>
      <c r="K68" s="476" t="n">
        <v>0.537194522268779</v>
      </c>
      <c r="L68" s="432" t="n">
        <v>0.0607880206190373</v>
      </c>
      <c r="M68" s="432" t="n">
        <v>0.0652214853106625</v>
      </c>
      <c r="N68" s="432" t="n">
        <v>0.0736203529623781</v>
      </c>
      <c r="O68" s="476" t="n">
        <v>0.19583173818601</v>
      </c>
      <c r="P68" s="476" t="n">
        <v>0.668517309644551</v>
      </c>
      <c r="Q68" s="476" t="n">
        <v>1.26823450329707</v>
      </c>
      <c r="R68" s="432" t="n">
        <v>0.021427591881514</v>
      </c>
      <c r="S68" s="432" t="n">
        <v>0.263157894736842</v>
      </c>
      <c r="T68" s="432" t="n">
        <v>0.54089219330855</v>
      </c>
      <c r="U68" s="427"/>
      <c r="V68" s="427"/>
    </row>
    <row r="69" customFormat="false" ht="12.75" hidden="false" customHeight="true" outlineLevel="0" collapsed="false">
      <c r="A69" s="486" t="s">
        <v>682</v>
      </c>
      <c r="B69" s="487" t="n">
        <v>332</v>
      </c>
      <c r="C69" s="432" t="n">
        <v>0.0219</v>
      </c>
      <c r="D69" s="432" t="n">
        <v>0.0622</v>
      </c>
      <c r="E69" s="432" t="n">
        <v>0.104</v>
      </c>
      <c r="F69" s="432" t="n">
        <v>-0.00145637366201752</v>
      </c>
      <c r="G69" s="432" t="n">
        <v>0.0659446450060169</v>
      </c>
      <c r="H69" s="432" t="n">
        <v>0.143984220907298</v>
      </c>
      <c r="I69" s="476" t="n">
        <v>0.610270493421643</v>
      </c>
      <c r="J69" s="476" t="n">
        <v>1.13278916981883</v>
      </c>
      <c r="K69" s="476" t="n">
        <v>1.92863506884221</v>
      </c>
      <c r="L69" s="432" t="n">
        <v>0.078521896411844</v>
      </c>
      <c r="M69" s="432" t="n">
        <v>0.0829408462331643</v>
      </c>
      <c r="N69" s="432" t="n">
        <v>0.0851534737997548</v>
      </c>
      <c r="O69" s="476" t="n">
        <v>0.472346577808355</v>
      </c>
      <c r="P69" s="476" t="n">
        <v>0.96445201496053</v>
      </c>
      <c r="Q69" s="476" t="n">
        <v>1.45450867626305</v>
      </c>
      <c r="R69" s="432" t="n">
        <v>0.022707423580786</v>
      </c>
      <c r="S69" s="432" t="n">
        <v>0.145325894679548</v>
      </c>
      <c r="T69" s="432" t="n">
        <v>0.397118415128321</v>
      </c>
      <c r="U69" s="427"/>
      <c r="V69" s="427"/>
    </row>
    <row r="70" customFormat="false" ht="12.75" hidden="false" customHeight="true" outlineLevel="0" collapsed="false">
      <c r="A70" s="486" t="s">
        <v>1134</v>
      </c>
      <c r="B70" s="487" t="n">
        <v>32</v>
      </c>
      <c r="C70" s="432" t="n">
        <v>0.00042</v>
      </c>
      <c r="D70" s="432" t="n">
        <v>0.0294</v>
      </c>
      <c r="E70" s="432" t="n">
        <v>0.088</v>
      </c>
      <c r="F70" s="432" t="n">
        <v>0.0723402809220799</v>
      </c>
      <c r="G70" s="432" t="n">
        <v>0.150262217726495</v>
      </c>
      <c r="H70" s="432" t="n">
        <v>0.196132596685083</v>
      </c>
      <c r="I70" s="476" t="n">
        <v>0.840186391758619</v>
      </c>
      <c r="J70" s="476" t="n">
        <v>1.05572230197051</v>
      </c>
      <c r="K70" s="476" t="n">
        <v>2.01361212784278</v>
      </c>
      <c r="L70" s="432" t="n">
        <v>0.0871515580564908</v>
      </c>
      <c r="M70" s="432" t="n">
        <v>0.0929012341391683</v>
      </c>
      <c r="N70" s="432" t="n">
        <v>0.103229516119558</v>
      </c>
      <c r="O70" s="476" t="n">
        <v>0.471228456974459</v>
      </c>
      <c r="P70" s="476" t="n">
        <v>0.910245518010741</v>
      </c>
      <c r="Q70" s="476" t="n">
        <v>1.1499131932439</v>
      </c>
      <c r="R70" s="432" t="n">
        <v>0.00146986771190593</v>
      </c>
      <c r="S70" s="432" t="n">
        <v>0.115496454982621</v>
      </c>
      <c r="T70" s="432" t="n">
        <v>0.215986863486938</v>
      </c>
      <c r="U70" s="427"/>
      <c r="V70" s="427"/>
    </row>
    <row r="71" customFormat="false" ht="12.75" hidden="false" customHeight="true" outlineLevel="0" collapsed="false">
      <c r="A71" s="486" t="s">
        <v>1135</v>
      </c>
      <c r="B71" s="487" t="n">
        <v>410</v>
      </c>
      <c r="C71" s="432" t="n">
        <v>0.0356</v>
      </c>
      <c r="D71" s="432" t="n">
        <v>0.0749</v>
      </c>
      <c r="E71" s="432" t="n">
        <v>0.13</v>
      </c>
      <c r="F71" s="432" t="n">
        <v>-0.00448198198198198</v>
      </c>
      <c r="G71" s="432" t="n">
        <v>0.0441090335110327</v>
      </c>
      <c r="H71" s="432" t="n">
        <v>0.0876183118252641</v>
      </c>
      <c r="I71" s="476" t="n">
        <v>1.19426085501548</v>
      </c>
      <c r="J71" s="476" t="n">
        <v>2.05533596837945</v>
      </c>
      <c r="K71" s="476" t="n">
        <v>3.54326887282533</v>
      </c>
      <c r="L71" s="432" t="n">
        <v>0.0680360111349381</v>
      </c>
      <c r="M71" s="432" t="n">
        <v>0.0712905801107116</v>
      </c>
      <c r="N71" s="432" t="n">
        <v>0.0729266931267554</v>
      </c>
      <c r="O71" s="476" t="n">
        <v>0.292149472122611</v>
      </c>
      <c r="P71" s="476" t="n">
        <v>0.653469104005029</v>
      </c>
      <c r="Q71" s="476" t="n">
        <v>1.09951720640375</v>
      </c>
      <c r="R71" s="432" t="n">
        <v>0.0859879242140329</v>
      </c>
      <c r="S71" s="432" t="n">
        <v>0.25372691750105</v>
      </c>
      <c r="T71" s="432" t="n">
        <v>0.444321329639889</v>
      </c>
      <c r="U71" s="427"/>
      <c r="V71" s="427"/>
    </row>
    <row r="72" customFormat="false" ht="12.75" hidden="false" customHeight="true" outlineLevel="0" collapsed="false">
      <c r="A72" s="486" t="s">
        <v>1136</v>
      </c>
      <c r="B72" s="487" t="n">
        <v>212</v>
      </c>
      <c r="C72" s="432" t="n">
        <v>0.0133</v>
      </c>
      <c r="D72" s="432" t="n">
        <v>0.0506</v>
      </c>
      <c r="E72" s="432" t="n">
        <v>0.115</v>
      </c>
      <c r="F72" s="432" t="n">
        <v>0.00794780938503825</v>
      </c>
      <c r="G72" s="432" t="n">
        <v>0.0302087713362545</v>
      </c>
      <c r="H72" s="432" t="n">
        <v>0.0548974720204846</v>
      </c>
      <c r="I72" s="476" t="n">
        <v>1.26345609065156</v>
      </c>
      <c r="J72" s="476" t="n">
        <v>2.54895817013943</v>
      </c>
      <c r="K72" s="476" t="n">
        <v>4.23792767059189</v>
      </c>
      <c r="L72" s="432" t="n">
        <v>0.0666573536526489</v>
      </c>
      <c r="M72" s="432" t="n">
        <v>0.0703507496415701</v>
      </c>
      <c r="N72" s="432" t="n">
        <v>0.0816914915400307</v>
      </c>
      <c r="O72" s="476" t="n">
        <v>0.359107106120227</v>
      </c>
      <c r="P72" s="476" t="n">
        <v>0.749080799093671</v>
      </c>
      <c r="Q72" s="476" t="n">
        <v>1.19058457985379</v>
      </c>
      <c r="R72" s="432" t="n">
        <v>0.10060446622899</v>
      </c>
      <c r="S72" s="432" t="n">
        <v>0.308486753480018</v>
      </c>
      <c r="T72" s="432" t="n">
        <v>0.573982737361282</v>
      </c>
      <c r="U72" s="427"/>
      <c r="V72" s="427"/>
    </row>
    <row r="73" customFormat="false" ht="12.75" hidden="false" customHeight="true" outlineLevel="0" collapsed="false">
      <c r="A73" s="486" t="s">
        <v>1137</v>
      </c>
      <c r="B73" s="487" t="n">
        <v>121</v>
      </c>
      <c r="C73" s="432" t="n">
        <v>0.0259</v>
      </c>
      <c r="D73" s="432" t="n">
        <v>0.0552</v>
      </c>
      <c r="E73" s="432" t="n">
        <v>0.0892</v>
      </c>
      <c r="F73" s="432" t="n">
        <v>0.0112806901128069</v>
      </c>
      <c r="G73" s="432" t="n">
        <v>0.042495126705653</v>
      </c>
      <c r="H73" s="432" t="n">
        <v>0.109668131852194</v>
      </c>
      <c r="I73" s="476" t="n">
        <v>1.17212614445575</v>
      </c>
      <c r="J73" s="476" t="n">
        <v>1.85021485573972</v>
      </c>
      <c r="K73" s="476" t="n">
        <v>3.42868062923816</v>
      </c>
      <c r="L73" s="432" t="n">
        <v>0.0730169001216869</v>
      </c>
      <c r="M73" s="432" t="n">
        <v>0.0780764514484789</v>
      </c>
      <c r="N73" s="432" t="n">
        <v>0.0891942079010567</v>
      </c>
      <c r="O73" s="476" t="n">
        <v>0.453185220580643</v>
      </c>
      <c r="P73" s="476" t="n">
        <v>0.866829123928633</v>
      </c>
      <c r="Q73" s="476" t="n">
        <v>1.42581817146139</v>
      </c>
      <c r="R73" s="432" t="n">
        <v>0.10411964649898</v>
      </c>
      <c r="S73" s="432" t="n">
        <v>0.261843107387662</v>
      </c>
      <c r="T73" s="432" t="n">
        <v>0.501733795678848</v>
      </c>
      <c r="U73" s="427"/>
      <c r="V73" s="427"/>
    </row>
    <row r="74" customFormat="false" ht="12.75" hidden="false" customHeight="true" outlineLevel="0" collapsed="false">
      <c r="A74" s="486" t="s">
        <v>1138</v>
      </c>
      <c r="B74" s="487" t="n">
        <v>1079</v>
      </c>
      <c r="C74" s="432" t="n">
        <v>0.0225</v>
      </c>
      <c r="D74" s="432" t="n">
        <v>0.0507</v>
      </c>
      <c r="E74" s="432" t="n">
        <v>0.0968</v>
      </c>
      <c r="F74" s="432" t="n">
        <v>0.0011340206185567</v>
      </c>
      <c r="G74" s="432" t="n">
        <v>0.0321542963456134</v>
      </c>
      <c r="H74" s="432" t="n">
        <v>0.0818096408180964</v>
      </c>
      <c r="I74" s="476" t="n">
        <v>0.69949494949495</v>
      </c>
      <c r="J74" s="476" t="n">
        <v>1.74688796680498</v>
      </c>
      <c r="K74" s="476" t="n">
        <v>3.36432637769306</v>
      </c>
      <c r="L74" s="432" t="n">
        <v>0.0686866204151085</v>
      </c>
      <c r="M74" s="432" t="n">
        <v>0.0725567945776769</v>
      </c>
      <c r="N74" s="432" t="n">
        <v>0.0838752410491249</v>
      </c>
      <c r="O74" s="476" t="n">
        <v>0.218842415978799</v>
      </c>
      <c r="P74" s="476" t="n">
        <v>0.739553667304372</v>
      </c>
      <c r="Q74" s="476" t="n">
        <v>1.3171939219387</v>
      </c>
      <c r="R74" s="432" t="n">
        <v>0.022680412371134</v>
      </c>
      <c r="S74" s="432" t="n">
        <v>0.154255319148936</v>
      </c>
      <c r="T74" s="432" t="n">
        <v>0.410544962604408</v>
      </c>
      <c r="U74" s="427"/>
      <c r="V74" s="427"/>
    </row>
    <row r="75" customFormat="false" ht="12.75" hidden="false" customHeight="true" outlineLevel="0" collapsed="false">
      <c r="A75" s="486" t="s">
        <v>1139</v>
      </c>
      <c r="B75" s="487" t="n">
        <v>252</v>
      </c>
      <c r="C75" s="432" t="n">
        <v>0.0275</v>
      </c>
      <c r="D75" s="432" t="n">
        <v>0.0629</v>
      </c>
      <c r="E75" s="432" t="n">
        <v>0.104</v>
      </c>
      <c r="F75" s="432" t="n">
        <v>0.00251908396946565</v>
      </c>
      <c r="G75" s="432" t="n">
        <v>0.0418091016020177</v>
      </c>
      <c r="H75" s="432" t="n">
        <v>0.0864079656277706</v>
      </c>
      <c r="I75" s="476" t="n">
        <v>0.676270946041781</v>
      </c>
      <c r="J75" s="476" t="n">
        <v>1.72134831460674</v>
      </c>
      <c r="K75" s="476" t="n">
        <v>3.18328840970351</v>
      </c>
      <c r="L75" s="432" t="n">
        <v>0.0802131361210713</v>
      </c>
      <c r="M75" s="432" t="n">
        <v>0.0845024623578955</v>
      </c>
      <c r="N75" s="432" t="n">
        <v>0.0876732898935016</v>
      </c>
      <c r="O75" s="476" t="n">
        <v>0.522733384748576</v>
      </c>
      <c r="P75" s="476" t="n">
        <v>0.882584697414131</v>
      </c>
      <c r="Q75" s="476" t="n">
        <v>1.43538167306194</v>
      </c>
      <c r="R75" s="432" t="n">
        <v>0.0724515617932043</v>
      </c>
      <c r="S75" s="432" t="n">
        <v>0.286918894929546</v>
      </c>
      <c r="T75" s="432" t="n">
        <v>0.558085681204168</v>
      </c>
      <c r="U75" s="427"/>
      <c r="V75" s="427"/>
    </row>
    <row r="76" customFormat="false" ht="12.75" hidden="false" customHeight="true" outlineLevel="0" collapsed="false">
      <c r="A76" s="486" t="s">
        <v>1140</v>
      </c>
      <c r="B76" s="487" t="n">
        <v>215</v>
      </c>
      <c r="C76" s="432" t="n">
        <v>0.026</v>
      </c>
      <c r="D76" s="432" t="n">
        <v>0.0511</v>
      </c>
      <c r="E76" s="432" t="n">
        <v>0.0909</v>
      </c>
      <c r="F76" s="432" t="n">
        <v>0.00890212202942266</v>
      </c>
      <c r="G76" s="432" t="n">
        <v>0.0314482029598309</v>
      </c>
      <c r="H76" s="432" t="n">
        <v>0.0530451866404715</v>
      </c>
      <c r="I76" s="476" t="n">
        <v>2.13920776249339</v>
      </c>
      <c r="J76" s="476" t="n">
        <v>3.18609885657693</v>
      </c>
      <c r="K76" s="476" t="n">
        <v>4.56766917293233</v>
      </c>
      <c r="L76" s="432" t="n">
        <v>0.0689633633202282</v>
      </c>
      <c r="M76" s="432" t="n">
        <v>0.0728160218154989</v>
      </c>
      <c r="N76" s="432" t="n">
        <v>0.0820620127885129</v>
      </c>
      <c r="O76" s="476" t="n">
        <v>0.251019903110614</v>
      </c>
      <c r="P76" s="476" t="n">
        <v>0.669132718275384</v>
      </c>
      <c r="Q76" s="476" t="n">
        <v>1.11852526057998</v>
      </c>
      <c r="R76" s="432" t="n">
        <v>0.0991635840281624</v>
      </c>
      <c r="S76" s="432" t="n">
        <v>0.26221638664247</v>
      </c>
      <c r="T76" s="432" t="n">
        <v>0.431734317343173</v>
      </c>
      <c r="U76" s="427"/>
      <c r="V76" s="427"/>
    </row>
    <row r="77" customFormat="false" ht="12.75" hidden="false" customHeight="true" outlineLevel="0" collapsed="false">
      <c r="A77" s="486" t="s">
        <v>1141</v>
      </c>
      <c r="B77" s="487" t="n">
        <v>113</v>
      </c>
      <c r="C77" s="432" t="n">
        <v>0.0238</v>
      </c>
      <c r="D77" s="432" t="n">
        <v>0.0477</v>
      </c>
      <c r="E77" s="432" t="n">
        <v>0.0747</v>
      </c>
      <c r="F77" s="432" t="n">
        <v>0.379795846532911</v>
      </c>
      <c r="G77" s="432" t="n">
        <v>0.580240963855422</v>
      </c>
      <c r="H77" s="432" t="n">
        <v>0.667617200866887</v>
      </c>
      <c r="I77" s="476" t="n">
        <v>0.0817755894617315</v>
      </c>
      <c r="J77" s="476" t="n">
        <v>0.103932584269663</v>
      </c>
      <c r="K77" s="476" t="n">
        <v>0.137973527625673</v>
      </c>
      <c r="L77" s="432" t="n">
        <v>0.0541558890655867</v>
      </c>
      <c r="M77" s="432" t="n">
        <v>0.056471539882211</v>
      </c>
      <c r="N77" s="432" t="n">
        <v>0.0635456255423495</v>
      </c>
      <c r="O77" s="476" t="n">
        <v>0.309100603539246</v>
      </c>
      <c r="P77" s="476" t="n">
        <v>0.613758482207324</v>
      </c>
      <c r="Q77" s="476" t="n">
        <v>0.809023185312518</v>
      </c>
      <c r="R77" s="432" t="n">
        <v>0.302497842118755</v>
      </c>
      <c r="S77" s="432" t="n">
        <v>0.417136158432607</v>
      </c>
      <c r="T77" s="432" t="n">
        <v>0.529961089494163</v>
      </c>
      <c r="U77" s="427"/>
      <c r="V77" s="427"/>
    </row>
    <row r="78" customFormat="false" ht="12.75" hidden="false" customHeight="true" outlineLevel="0" collapsed="false">
      <c r="A78" s="486" t="s">
        <v>684</v>
      </c>
      <c r="B78" s="487" t="n">
        <v>649</v>
      </c>
      <c r="C78" s="432" t="n">
        <v>0.0266</v>
      </c>
      <c r="D78" s="432" t="n">
        <v>0.0644</v>
      </c>
      <c r="E78" s="432" t="n">
        <v>0.126</v>
      </c>
      <c r="F78" s="432" t="n">
        <v>0.000483159367265684</v>
      </c>
      <c r="G78" s="432" t="n">
        <v>0.04013671875</v>
      </c>
      <c r="H78" s="432" t="n">
        <v>0.0910087719298246</v>
      </c>
      <c r="I78" s="476" t="n">
        <v>1.39101786023929</v>
      </c>
      <c r="J78" s="476" t="n">
        <v>2.32965074003706</v>
      </c>
      <c r="K78" s="476" t="n">
        <v>4.24789108839478</v>
      </c>
      <c r="L78" s="432" t="n">
        <v>0.0771670516967405</v>
      </c>
      <c r="M78" s="432" t="n">
        <v>0.0827743032744691</v>
      </c>
      <c r="N78" s="432" t="n">
        <v>0.0895442849460746</v>
      </c>
      <c r="O78" s="476" t="n">
        <v>0.372167709052324</v>
      </c>
      <c r="P78" s="476" t="n">
        <v>0.848748872146495</v>
      </c>
      <c r="Q78" s="476" t="n">
        <v>1.39935707720595</v>
      </c>
      <c r="R78" s="432" t="n">
        <v>0.0535608511413861</v>
      </c>
      <c r="S78" s="432" t="n">
        <v>0.204748007656063</v>
      </c>
      <c r="T78" s="432" t="n">
        <v>0.421475273288715</v>
      </c>
      <c r="U78" s="427"/>
      <c r="V78" s="427"/>
    </row>
    <row r="79" customFormat="false" ht="12.75" hidden="false" customHeight="true" outlineLevel="0" collapsed="false">
      <c r="A79" s="486" t="s">
        <v>1142</v>
      </c>
      <c r="B79" s="487" t="n">
        <v>91</v>
      </c>
      <c r="C79" s="432" t="n">
        <v>0.0177</v>
      </c>
      <c r="D79" s="432" t="n">
        <v>0.0824</v>
      </c>
      <c r="E79" s="432" t="n">
        <v>0.132</v>
      </c>
      <c r="F79" s="432" t="n">
        <v>0.0250301568154403</v>
      </c>
      <c r="G79" s="432" t="n">
        <v>0.0575266092245312</v>
      </c>
      <c r="H79" s="432" t="n">
        <v>0.0948699127314249</v>
      </c>
      <c r="I79" s="476" t="n">
        <v>0.944118104118104</v>
      </c>
      <c r="J79" s="476" t="n">
        <v>1.32295627376426</v>
      </c>
      <c r="K79" s="476" t="n">
        <v>1.762417851578</v>
      </c>
      <c r="L79" s="432" t="n">
        <v>0.0762924871877309</v>
      </c>
      <c r="M79" s="432" t="n">
        <v>0.0811103690567391</v>
      </c>
      <c r="N79" s="432" t="n">
        <v>0.0931577272397214</v>
      </c>
      <c r="O79" s="476" t="n">
        <v>0.417082860847951</v>
      </c>
      <c r="P79" s="476" t="n">
        <v>0.960244133688464</v>
      </c>
      <c r="Q79" s="476" t="n">
        <v>1.41428011604779</v>
      </c>
      <c r="R79" s="432" t="n">
        <v>0.0922946655376799</v>
      </c>
      <c r="S79" s="432" t="n">
        <v>0.277827248441674</v>
      </c>
      <c r="T79" s="432" t="n">
        <v>0.447535771065183</v>
      </c>
      <c r="U79" s="427"/>
      <c r="V79" s="427"/>
    </row>
    <row r="80" customFormat="false" ht="12.75" hidden="false" customHeight="true" outlineLevel="0" collapsed="false">
      <c r="A80" s="486" t="s">
        <v>688</v>
      </c>
      <c r="B80" s="487" t="n">
        <v>675</v>
      </c>
      <c r="C80" s="432" t="n">
        <v>0.0739</v>
      </c>
      <c r="D80" s="432" t="n">
        <v>0.18</v>
      </c>
      <c r="E80" s="432" t="n">
        <v>0.322</v>
      </c>
      <c r="F80" s="432" t="n">
        <v>-0.150335008375209</v>
      </c>
      <c r="G80" s="432" t="n">
        <v>0.0143953934740883</v>
      </c>
      <c r="H80" s="432" t="n">
        <v>0.11510989010989</v>
      </c>
      <c r="I80" s="476" t="n">
        <v>0.488594636697452</v>
      </c>
      <c r="J80" s="476" t="n">
        <v>0.887179487179487</v>
      </c>
      <c r="K80" s="476" t="n">
        <v>1.64040234702431</v>
      </c>
      <c r="L80" s="432" t="n">
        <v>0.12704762028665</v>
      </c>
      <c r="M80" s="432" t="n">
        <v>0.13217402531671</v>
      </c>
      <c r="N80" s="432" t="n">
        <v>0.134023763117352</v>
      </c>
      <c r="O80" s="476" t="n">
        <v>1.21770495752699</v>
      </c>
      <c r="P80" s="476" t="n">
        <v>1.84806341998924</v>
      </c>
      <c r="Q80" s="476" t="n">
        <v>2.45082570867876</v>
      </c>
      <c r="R80" s="432" t="n">
        <v>0.00525995634594053</v>
      </c>
      <c r="S80" s="432" t="n">
        <v>0.0525137414155121</v>
      </c>
      <c r="T80" s="432" t="n">
        <v>0.184921702164577</v>
      </c>
      <c r="U80" s="427"/>
      <c r="V80" s="427"/>
    </row>
    <row r="81" customFormat="false" ht="12.75" hidden="false" customHeight="true" outlineLevel="0" collapsed="false">
      <c r="A81" s="486" t="s">
        <v>1143</v>
      </c>
      <c r="B81" s="487" t="n">
        <v>391</v>
      </c>
      <c r="C81" s="432" t="n">
        <v>0.0622</v>
      </c>
      <c r="D81" s="432" t="n">
        <v>0.125</v>
      </c>
      <c r="E81" s="432" t="n">
        <v>0.238</v>
      </c>
      <c r="F81" s="432" t="n">
        <v>-0.0377218934911243</v>
      </c>
      <c r="G81" s="432" t="n">
        <v>0.0767326732673267</v>
      </c>
      <c r="H81" s="432" t="n">
        <v>0.179509632224168</v>
      </c>
      <c r="I81" s="476" t="n">
        <v>0.494845360824742</v>
      </c>
      <c r="J81" s="476" t="n">
        <v>0.865030674846626</v>
      </c>
      <c r="K81" s="476" t="n">
        <v>1.43547941420282</v>
      </c>
      <c r="L81" s="432" t="n">
        <v>0.135337542144972</v>
      </c>
      <c r="M81" s="432" t="n">
        <v>0.142177736048998</v>
      </c>
      <c r="N81" s="432" t="n">
        <v>0.145574056105012</v>
      </c>
      <c r="O81" s="476" t="n">
        <v>1.36874642932277</v>
      </c>
      <c r="P81" s="476" t="n">
        <v>2.11129761205419</v>
      </c>
      <c r="Q81" s="476" t="n">
        <v>2.85629914469818</v>
      </c>
      <c r="R81" s="432" t="n">
        <v>0.0124508253234376</v>
      </c>
      <c r="S81" s="432" t="n">
        <v>0.0770491803278689</v>
      </c>
      <c r="T81" s="432" t="n">
        <v>0.233069315036559</v>
      </c>
      <c r="U81" s="427"/>
      <c r="V81" s="427"/>
    </row>
    <row r="82" customFormat="false" ht="12.75" hidden="false" customHeight="true" outlineLevel="0" collapsed="false">
      <c r="A82" s="486" t="s">
        <v>1144</v>
      </c>
      <c r="B82" s="487" t="n">
        <v>359</v>
      </c>
      <c r="C82" s="432" t="n">
        <v>-0.0176</v>
      </c>
      <c r="D82" s="432" t="n">
        <v>0.0245</v>
      </c>
      <c r="E82" s="432" t="n">
        <v>0.0864</v>
      </c>
      <c r="F82" s="432" t="n">
        <v>0.0327702702702703</v>
      </c>
      <c r="G82" s="432" t="n">
        <v>0.123110151187905</v>
      </c>
      <c r="H82" s="432" t="n">
        <v>0.235603069358564</v>
      </c>
      <c r="I82" s="476" t="n">
        <v>0.343454760706336</v>
      </c>
      <c r="J82" s="476" t="n">
        <v>0.599069955519612</v>
      </c>
      <c r="K82" s="476" t="n">
        <v>1.11109022791916</v>
      </c>
      <c r="L82" s="432" t="n">
        <v>0.075976928335564</v>
      </c>
      <c r="M82" s="432" t="n">
        <v>0.0806042395167269</v>
      </c>
      <c r="N82" s="432" t="n">
        <v>0.0938428125044069</v>
      </c>
      <c r="O82" s="476" t="n">
        <v>0.326681601937261</v>
      </c>
      <c r="P82" s="476" t="n">
        <v>0.780448342058971</v>
      </c>
      <c r="Q82" s="476" t="n">
        <v>1.39286929156894</v>
      </c>
      <c r="R82" s="432" t="n">
        <v>0.0596865621873958</v>
      </c>
      <c r="S82" s="432" t="n">
        <v>0.223300970873786</v>
      </c>
      <c r="T82" s="432" t="n">
        <v>0.458166717932944</v>
      </c>
      <c r="U82" s="427"/>
      <c r="V82" s="427"/>
    </row>
    <row r="83" customFormat="false" ht="12.75" hidden="false" customHeight="true" outlineLevel="0" collapsed="false">
      <c r="A83" s="486" t="s">
        <v>690</v>
      </c>
      <c r="B83" s="487" t="n">
        <v>84</v>
      </c>
      <c r="C83" s="432" t="n">
        <v>0.0134</v>
      </c>
      <c r="D83" s="432" t="n">
        <v>0.0598</v>
      </c>
      <c r="E83" s="432" t="n">
        <v>0.111</v>
      </c>
      <c r="F83" s="432" t="n">
        <v>-0.0213943950786056</v>
      </c>
      <c r="G83" s="432" t="n">
        <v>0.0619607843137255</v>
      </c>
      <c r="H83" s="432" t="n">
        <v>0.111740041928721</v>
      </c>
      <c r="I83" s="476" t="n">
        <v>1.00414385617276</v>
      </c>
      <c r="J83" s="476" t="n">
        <v>1.56937460014622</v>
      </c>
      <c r="K83" s="476" t="n">
        <v>2.41464667694176</v>
      </c>
      <c r="L83" s="432" t="n">
        <v>0.0823041733383514</v>
      </c>
      <c r="M83" s="432" t="n">
        <v>0.084697422202062</v>
      </c>
      <c r="N83" s="432" t="n">
        <v>0.10129087856564</v>
      </c>
      <c r="O83" s="476" t="n">
        <v>0.251255698657778</v>
      </c>
      <c r="P83" s="476" t="n">
        <v>0.873044494724992</v>
      </c>
      <c r="Q83" s="476" t="n">
        <v>1.57606010248567</v>
      </c>
      <c r="R83" s="432" t="n">
        <v>0.0210071363956177</v>
      </c>
      <c r="S83" s="432" t="n">
        <v>0.11149593712535</v>
      </c>
      <c r="T83" s="432" t="n">
        <v>0.348152991173586</v>
      </c>
      <c r="U83" s="427"/>
      <c r="V83" s="427"/>
    </row>
    <row r="84" customFormat="false" ht="12.75" hidden="false" customHeight="true" outlineLevel="0" collapsed="false">
      <c r="A84" s="486" t="s">
        <v>1145</v>
      </c>
      <c r="B84" s="487" t="n">
        <v>298</v>
      </c>
      <c r="C84" s="432" t="n">
        <v>0.0402</v>
      </c>
      <c r="D84" s="432" t="n">
        <v>0.103</v>
      </c>
      <c r="E84" s="432" t="n">
        <v>0.182</v>
      </c>
      <c r="F84" s="432" t="n">
        <v>-0.0972222222222222</v>
      </c>
      <c r="G84" s="432" t="n">
        <v>0.0374727668845316</v>
      </c>
      <c r="H84" s="432" t="n">
        <v>0.148632580261593</v>
      </c>
      <c r="I84" s="476" t="n">
        <v>0.971223021582734</v>
      </c>
      <c r="J84" s="476" t="n">
        <v>2.38593155893536</v>
      </c>
      <c r="K84" s="476" t="n">
        <v>5.94707520891365</v>
      </c>
      <c r="L84" s="432" t="n">
        <v>0.090533277875617</v>
      </c>
      <c r="M84" s="432" t="n">
        <v>0.0958043923406332</v>
      </c>
      <c r="N84" s="432" t="n">
        <v>0.101015708993666</v>
      </c>
      <c r="O84" s="476" t="n">
        <v>0.569092992662747</v>
      </c>
      <c r="P84" s="476" t="n">
        <v>1.10774707281112</v>
      </c>
      <c r="Q84" s="476" t="n">
        <v>1.75729850774441</v>
      </c>
      <c r="R84" s="432" t="n">
        <v>0.00314063045248343</v>
      </c>
      <c r="S84" s="432" t="n">
        <v>0.0423976608187135</v>
      </c>
      <c r="T84" s="432" t="n">
        <v>0.267733938980941</v>
      </c>
      <c r="U84" s="427"/>
      <c r="V84" s="427"/>
    </row>
    <row r="85" customFormat="false" ht="12.75" hidden="false" customHeight="true" outlineLevel="0" collapsed="false">
      <c r="A85" s="486" t="s">
        <v>1146</v>
      </c>
      <c r="B85" s="487" t="n">
        <v>150</v>
      </c>
      <c r="C85" s="432" t="n">
        <v>0.0515</v>
      </c>
      <c r="D85" s="432" t="n">
        <v>0.103</v>
      </c>
      <c r="E85" s="432" t="n">
        <v>0.213</v>
      </c>
      <c r="F85" s="432" t="n">
        <v>-0.117789291882556</v>
      </c>
      <c r="G85" s="432" t="n">
        <v>0.0407364787111623</v>
      </c>
      <c r="H85" s="432" t="n">
        <v>0.105302780250363</v>
      </c>
      <c r="I85" s="476" t="n">
        <v>0.688562854284762</v>
      </c>
      <c r="J85" s="476" t="n">
        <v>1.36111111111111</v>
      </c>
      <c r="K85" s="476" t="n">
        <v>3.66237482117311</v>
      </c>
      <c r="L85" s="432" t="n">
        <v>0.0968390122665297</v>
      </c>
      <c r="M85" s="432" t="n">
        <v>0.103536274003236</v>
      </c>
      <c r="N85" s="432" t="n">
        <v>0.1079572288389</v>
      </c>
      <c r="O85" s="476" t="n">
        <v>0.679068981545485</v>
      </c>
      <c r="P85" s="476" t="n">
        <v>1.20198102756369</v>
      </c>
      <c r="Q85" s="476" t="n">
        <v>1.98623460729274</v>
      </c>
      <c r="R85" s="432" t="n">
        <v>0.0139804800844105</v>
      </c>
      <c r="S85" s="432" t="n">
        <v>0.102964118564743</v>
      </c>
      <c r="T85" s="432" t="n">
        <v>0.261390887290168</v>
      </c>
      <c r="U85" s="427"/>
      <c r="V85" s="427"/>
    </row>
    <row r="86" customFormat="false" ht="12.75" hidden="false" customHeight="true" outlineLevel="0" collapsed="false">
      <c r="A86" s="486" t="s">
        <v>1147</v>
      </c>
      <c r="B86" s="487" t="n">
        <v>1532</v>
      </c>
      <c r="C86" s="432" t="n">
        <v>0.0638</v>
      </c>
      <c r="D86" s="432" t="n">
        <v>0.13</v>
      </c>
      <c r="E86" s="432" t="n">
        <v>0.209</v>
      </c>
      <c r="F86" s="432" t="n">
        <v>-0.224430157802455</v>
      </c>
      <c r="G86" s="432" t="n">
        <v>0.00630137415373081</v>
      </c>
      <c r="H86" s="432" t="n">
        <v>0.121171770972037</v>
      </c>
      <c r="I86" s="476" t="n">
        <v>0.640266469282013</v>
      </c>
      <c r="J86" s="476" t="n">
        <v>1.52842105263158</v>
      </c>
      <c r="K86" s="476" t="n">
        <v>3.58407079646018</v>
      </c>
      <c r="L86" s="432" t="n">
        <v>0.0961068655159736</v>
      </c>
      <c r="M86" s="432" t="n">
        <v>0.104006147207467</v>
      </c>
      <c r="N86" s="432" t="n">
        <v>0.107765187312036</v>
      </c>
      <c r="O86" s="476" t="n">
        <v>0.664801526593544</v>
      </c>
      <c r="P86" s="476" t="n">
        <v>1.20269782579108</v>
      </c>
      <c r="Q86" s="476" t="n">
        <v>1.89124191602159</v>
      </c>
      <c r="R86" s="432" t="n">
        <v>0.00277794304072638</v>
      </c>
      <c r="S86" s="432" t="n">
        <v>0.0318772136953955</v>
      </c>
      <c r="T86" s="432" t="n">
        <v>0.143784323514728</v>
      </c>
      <c r="U86" s="427"/>
      <c r="V86" s="427"/>
    </row>
    <row r="87" customFormat="false" ht="12.75" hidden="false" customHeight="true" outlineLevel="0" collapsed="false">
      <c r="A87" s="486" t="s">
        <v>1148</v>
      </c>
      <c r="B87" s="487" t="n">
        <v>719</v>
      </c>
      <c r="C87" s="432" t="n">
        <v>-0.00254</v>
      </c>
      <c r="D87" s="432" t="n">
        <v>0.0476</v>
      </c>
      <c r="E87" s="432" t="n">
        <v>0.112</v>
      </c>
      <c r="F87" s="432" t="n">
        <v>-0.0104896042924212</v>
      </c>
      <c r="G87" s="432" t="n">
        <v>0.0285376428852976</v>
      </c>
      <c r="H87" s="432" t="n">
        <v>0.0777718832891247</v>
      </c>
      <c r="I87" s="476" t="n">
        <v>0.732919705380792</v>
      </c>
      <c r="J87" s="476" t="n">
        <v>1.20483945706949</v>
      </c>
      <c r="K87" s="476" t="n">
        <v>1.89930934205743</v>
      </c>
      <c r="L87" s="432" t="n">
        <v>0.0822913216792557</v>
      </c>
      <c r="M87" s="432" t="n">
        <v>0.0872576727554132</v>
      </c>
      <c r="N87" s="432" t="n">
        <v>0.103777575139936</v>
      </c>
      <c r="O87" s="476" t="n">
        <v>0.5692605336118</v>
      </c>
      <c r="P87" s="476" t="n">
        <v>1.15375796175017</v>
      </c>
      <c r="Q87" s="476" t="n">
        <v>1.69844933649205</v>
      </c>
      <c r="R87" s="432" t="n">
        <v>0.0253245371355608</v>
      </c>
      <c r="S87" s="432" t="n">
        <v>0.218061674008811</v>
      </c>
      <c r="T87" s="432" t="n">
        <v>0.476346610535406</v>
      </c>
      <c r="U87" s="427"/>
      <c r="V87" s="427"/>
    </row>
    <row r="88" customFormat="false" ht="12.75" hidden="false" customHeight="true" outlineLevel="0" collapsed="false">
      <c r="A88" s="486" t="s">
        <v>1149</v>
      </c>
      <c r="B88" s="487" t="n">
        <v>101</v>
      </c>
      <c r="C88" s="432" t="n">
        <v>0.0247</v>
      </c>
      <c r="D88" s="432" t="n">
        <v>0.0496</v>
      </c>
      <c r="E88" s="432" t="n">
        <v>0.093</v>
      </c>
      <c r="F88" s="432" t="n">
        <v>0.0664476352721668</v>
      </c>
      <c r="G88" s="432" t="n">
        <v>0.142363907526608</v>
      </c>
      <c r="H88" s="432" t="n">
        <v>0.222580298635729</v>
      </c>
      <c r="I88" s="476" t="n">
        <v>0.629796161230762</v>
      </c>
      <c r="J88" s="476" t="n">
        <v>0.896585223079869</v>
      </c>
      <c r="K88" s="476" t="n">
        <v>1.89325640100974</v>
      </c>
      <c r="L88" s="432" t="n">
        <v>0.0663858221434628</v>
      </c>
      <c r="M88" s="432" t="n">
        <v>0.0704838155473143</v>
      </c>
      <c r="N88" s="432" t="n">
        <v>0.0807998772658984</v>
      </c>
      <c r="O88" s="476" t="n">
        <v>0.274994275228027</v>
      </c>
      <c r="P88" s="476" t="n">
        <v>0.54362083351794</v>
      </c>
      <c r="Q88" s="476" t="n">
        <v>1.01458760263766</v>
      </c>
      <c r="R88" s="432" t="n">
        <v>0.0569060561196002</v>
      </c>
      <c r="S88" s="432" t="n">
        <v>0.216509087478351</v>
      </c>
      <c r="T88" s="432" t="n">
        <v>0.380267214799589</v>
      </c>
      <c r="U88" s="488"/>
      <c r="V88" s="488"/>
    </row>
    <row r="89" customFormat="false" ht="12.75" hidden="false" customHeight="true" outlineLevel="0" collapsed="false">
      <c r="A89" s="486" t="s">
        <v>123</v>
      </c>
      <c r="B89" s="487" t="n">
        <v>437</v>
      </c>
      <c r="C89" s="432" t="n">
        <v>0.0498</v>
      </c>
      <c r="D89" s="432" t="n">
        <v>0.119</v>
      </c>
      <c r="E89" s="432" t="n">
        <v>0.24</v>
      </c>
      <c r="F89" s="432" t="n">
        <v>-0.0888093106535363</v>
      </c>
      <c r="G89" s="432" t="n">
        <v>0.0174239836009566</v>
      </c>
      <c r="H89" s="432" t="n">
        <v>0.0735294117647059</v>
      </c>
      <c r="I89" s="476" t="n">
        <v>0.660220795151165</v>
      </c>
      <c r="J89" s="476" t="n">
        <v>1.22781626861174</v>
      </c>
      <c r="K89" s="476" t="n">
        <v>2.16764132553606</v>
      </c>
      <c r="L89" s="432" t="n">
        <v>0.0973875250852167</v>
      </c>
      <c r="M89" s="432" t="n">
        <v>0.103163217023997</v>
      </c>
      <c r="N89" s="432" t="n">
        <v>0.105995288887272</v>
      </c>
      <c r="O89" s="476" t="n">
        <v>0.738269017835642</v>
      </c>
      <c r="P89" s="476" t="n">
        <v>1.28081931012964</v>
      </c>
      <c r="Q89" s="476" t="n">
        <v>1.89852159634439</v>
      </c>
      <c r="R89" s="432" t="n">
        <v>0.0128984829245472</v>
      </c>
      <c r="S89" s="432" t="n">
        <v>0.0757575757575758</v>
      </c>
      <c r="T89" s="432" t="n">
        <v>0.217533965649833</v>
      </c>
      <c r="U89" s="488"/>
      <c r="V89" s="488"/>
    </row>
    <row r="90" customFormat="false" ht="12.75" hidden="false" customHeight="true" outlineLevel="0" collapsed="false">
      <c r="A90" s="486" t="s">
        <v>693</v>
      </c>
      <c r="B90" s="487" t="n">
        <v>283</v>
      </c>
      <c r="C90" s="432" t="n">
        <v>0.0187</v>
      </c>
      <c r="D90" s="432" t="n">
        <v>0.038</v>
      </c>
      <c r="E90" s="432" t="n">
        <v>0.0892</v>
      </c>
      <c r="F90" s="432" t="n">
        <v>0.0312227074235808</v>
      </c>
      <c r="G90" s="432" t="n">
        <v>0.108554531194325</v>
      </c>
      <c r="H90" s="432" t="n">
        <v>0.205663189269747</v>
      </c>
      <c r="I90" s="476" t="n">
        <v>0.534382581218866</v>
      </c>
      <c r="J90" s="476" t="n">
        <v>0.91887371062169</v>
      </c>
      <c r="K90" s="476" t="n">
        <v>1.99697935895284</v>
      </c>
      <c r="L90" s="432" t="n">
        <v>0.061621758474872</v>
      </c>
      <c r="M90" s="432" t="n">
        <v>0.0651309484299326</v>
      </c>
      <c r="N90" s="432" t="n">
        <v>0.0732117799105458</v>
      </c>
      <c r="O90" s="476" t="n">
        <v>0.219770218372882</v>
      </c>
      <c r="P90" s="476" t="n">
        <v>0.623112699074834</v>
      </c>
      <c r="Q90" s="476" t="n">
        <v>1.10300533201779</v>
      </c>
      <c r="R90" s="432" t="n">
        <v>0.0391299473035094</v>
      </c>
      <c r="S90" s="432" t="n">
        <v>0.241839762611276</v>
      </c>
      <c r="T90" s="432" t="n">
        <v>0.473966309341501</v>
      </c>
      <c r="U90" s="488"/>
      <c r="V90" s="488"/>
    </row>
    <row r="91" customFormat="false" ht="12.75" hidden="false" customHeight="true" outlineLevel="0" collapsed="false">
      <c r="A91" s="486" t="s">
        <v>697</v>
      </c>
      <c r="B91" s="487" t="n">
        <v>48</v>
      </c>
      <c r="C91" s="432" t="n">
        <v>-0.00645</v>
      </c>
      <c r="D91" s="432" t="n">
        <v>0.0727</v>
      </c>
      <c r="E91" s="432" t="n">
        <v>0.16</v>
      </c>
      <c r="F91" s="432" t="n">
        <v>0.0587649015303371</v>
      </c>
      <c r="G91" s="432" t="n">
        <v>0.169869331283628</v>
      </c>
      <c r="H91" s="432" t="n">
        <v>0.312777771495132</v>
      </c>
      <c r="I91" s="476" t="n">
        <v>0.626924769027717</v>
      </c>
      <c r="J91" s="476" t="n">
        <v>1.26682467528903</v>
      </c>
      <c r="K91" s="476" t="n">
        <v>2.56682975253492</v>
      </c>
      <c r="L91" s="432" t="n">
        <v>0.0552368174163806</v>
      </c>
      <c r="M91" s="432" t="n">
        <v>0.0628050167524384</v>
      </c>
      <c r="N91" s="432" t="n">
        <v>0.0696680294036576</v>
      </c>
      <c r="O91" s="476" t="n">
        <v>-0.0860001449900378</v>
      </c>
      <c r="P91" s="476" t="n">
        <v>0.22913459859679</v>
      </c>
      <c r="Q91" s="476" t="n">
        <v>0.809709802180063</v>
      </c>
      <c r="R91" s="432" t="n">
        <v>0.00136775221177652</v>
      </c>
      <c r="S91" s="432" t="n">
        <v>0.150033538646636</v>
      </c>
      <c r="T91" s="432" t="n">
        <v>0.307955030596272</v>
      </c>
      <c r="U91" s="488"/>
      <c r="V91" s="488"/>
    </row>
    <row r="92" customFormat="false" ht="12.75" hidden="false" customHeight="true" outlineLevel="0" collapsed="false">
      <c r="A92" s="486" t="s">
        <v>821</v>
      </c>
      <c r="B92" s="487" t="n">
        <v>451</v>
      </c>
      <c r="C92" s="432" t="n">
        <v>0.0266</v>
      </c>
      <c r="D92" s="432" t="n">
        <v>0.0663</v>
      </c>
      <c r="E92" s="432" t="n">
        <v>0.116</v>
      </c>
      <c r="F92" s="432" t="n">
        <v>0.0105338711284472</v>
      </c>
      <c r="G92" s="432" t="n">
        <v>0.0565909090909091</v>
      </c>
      <c r="H92" s="432" t="n">
        <v>0.12914798206278</v>
      </c>
      <c r="I92" s="476" t="n">
        <v>0.541491054232841</v>
      </c>
      <c r="J92" s="476" t="n">
        <v>1.49114631873253</v>
      </c>
      <c r="K92" s="476" t="n">
        <v>2.91556886227545</v>
      </c>
      <c r="L92" s="432" t="n">
        <v>0.0737178269377593</v>
      </c>
      <c r="M92" s="432" t="n">
        <v>0.0774136956885232</v>
      </c>
      <c r="N92" s="432" t="n">
        <v>0.089652480312843</v>
      </c>
      <c r="O92" s="476" t="n">
        <v>0.351827431869727</v>
      </c>
      <c r="P92" s="476" t="n">
        <v>0.824900360064485</v>
      </c>
      <c r="Q92" s="476" t="n">
        <v>1.36843716185808</v>
      </c>
      <c r="R92" s="432" t="n">
        <v>0.0709897610921502</v>
      </c>
      <c r="S92" s="432" t="n">
        <v>0.269032905167114</v>
      </c>
      <c r="T92" s="432" t="n">
        <v>0.487657920310982</v>
      </c>
      <c r="U92" s="488"/>
      <c r="V92" s="488"/>
    </row>
    <row r="93" customFormat="false" ht="12.75" hidden="false" customHeight="true" outlineLevel="0" collapsed="false">
      <c r="A93" s="486" t="s">
        <v>1150</v>
      </c>
      <c r="B93" s="487" t="n">
        <v>54</v>
      </c>
      <c r="C93" s="432" t="n">
        <v>0.0234</v>
      </c>
      <c r="D93" s="432" t="n">
        <v>0.0347</v>
      </c>
      <c r="E93" s="432" t="n">
        <v>0.046</v>
      </c>
      <c r="F93" s="432" t="n">
        <v>0.0771535580524345</v>
      </c>
      <c r="G93" s="432" t="n">
        <v>0.115467969786061</v>
      </c>
      <c r="H93" s="432" t="n">
        <v>0.280298909153377</v>
      </c>
      <c r="I93" s="476" t="n">
        <v>0.366500840441755</v>
      </c>
      <c r="J93" s="476" t="n">
        <v>0.486302596974027</v>
      </c>
      <c r="K93" s="476" t="n">
        <v>0.812917077590292</v>
      </c>
      <c r="L93" s="432" t="n">
        <v>0.060929429175277</v>
      </c>
      <c r="M93" s="432" t="n">
        <v>0.0634555386242191</v>
      </c>
      <c r="N93" s="432" t="n">
        <v>0.0678636350901976</v>
      </c>
      <c r="O93" s="476" t="n">
        <v>0.368078366023367</v>
      </c>
      <c r="P93" s="476" t="n">
        <v>0.656339324358018</v>
      </c>
      <c r="Q93" s="476" t="n">
        <v>1.00112402017366</v>
      </c>
      <c r="R93" s="432" t="n">
        <v>0.10238184387569</v>
      </c>
      <c r="S93" s="432" t="n">
        <v>0.446268930962431</v>
      </c>
      <c r="T93" s="432" t="n">
        <v>0.61125</v>
      </c>
      <c r="U93" s="488"/>
      <c r="V93" s="488"/>
    </row>
    <row r="94" customFormat="false" ht="12.75" hidden="false" customHeight="true" outlineLevel="0" collapsed="false">
      <c r="A94" s="486" t="s">
        <v>1151</v>
      </c>
      <c r="B94" s="487" t="n">
        <v>130</v>
      </c>
      <c r="C94" s="432" t="n">
        <v>0.0176</v>
      </c>
      <c r="D94" s="432" t="n">
        <v>0.0436</v>
      </c>
      <c r="E94" s="432" t="n">
        <v>0.0911</v>
      </c>
      <c r="F94" s="432" t="n">
        <v>0.0181169757489301</v>
      </c>
      <c r="G94" s="432" t="n">
        <v>0.0514195583596215</v>
      </c>
      <c r="H94" s="432" t="n">
        <v>0.0909530291619046</v>
      </c>
      <c r="I94" s="476" t="n">
        <v>0.80760726090985</v>
      </c>
      <c r="J94" s="476" t="n">
        <v>1.43707542102871</v>
      </c>
      <c r="K94" s="476" t="n">
        <v>2.60078023407022</v>
      </c>
      <c r="L94" s="432" t="n">
        <v>0.0682881383628698</v>
      </c>
      <c r="M94" s="432" t="n">
        <v>0.0731492884147161</v>
      </c>
      <c r="N94" s="432" t="n">
        <v>0.085522653416818</v>
      </c>
      <c r="O94" s="476" t="n">
        <v>0.424576649415548</v>
      </c>
      <c r="P94" s="476" t="n">
        <v>0.820129736759769</v>
      </c>
      <c r="Q94" s="476" t="n">
        <v>1.28620481928265</v>
      </c>
      <c r="R94" s="432" t="n">
        <v>0.11504042861124</v>
      </c>
      <c r="S94" s="432" t="n">
        <v>0.260172915671026</v>
      </c>
      <c r="T94" s="432" t="n">
        <v>0.456756409040676</v>
      </c>
      <c r="U94" s="488"/>
      <c r="V94" s="488"/>
    </row>
    <row r="95" customFormat="false" ht="12.75" hidden="false" customHeight="true" outlineLevel="0" collapsed="false">
      <c r="A95" s="486" t="s">
        <v>1152</v>
      </c>
      <c r="B95" s="487" t="n">
        <v>52</v>
      </c>
      <c r="C95" s="432" t="n">
        <v>0.0155</v>
      </c>
      <c r="D95" s="432" t="n">
        <v>0.0482</v>
      </c>
      <c r="E95" s="432" t="n">
        <v>0.0715</v>
      </c>
      <c r="F95" s="432" t="n">
        <v>0.0785872781065089</v>
      </c>
      <c r="G95" s="432" t="n">
        <v>0.170047024279133</v>
      </c>
      <c r="H95" s="432" t="n">
        <v>0.231290720197218</v>
      </c>
      <c r="I95" s="476" t="n">
        <v>0.289982680736472</v>
      </c>
      <c r="J95" s="476" t="n">
        <v>0.370406661035357</v>
      </c>
      <c r="K95" s="476" t="n">
        <v>1.57751160732029</v>
      </c>
      <c r="L95" s="432" t="n">
        <v>0.0522440323660478</v>
      </c>
      <c r="M95" s="432" t="n">
        <v>0.0545805902844103</v>
      </c>
      <c r="N95" s="432" t="n">
        <v>0.0563951692336712</v>
      </c>
      <c r="O95" s="476" t="n">
        <v>0.20401869547242</v>
      </c>
      <c r="P95" s="476" t="n">
        <v>0.448878882454802</v>
      </c>
      <c r="Q95" s="476" t="n">
        <v>0.790369688798123</v>
      </c>
      <c r="R95" s="432" t="n">
        <v>0.342405162915158</v>
      </c>
      <c r="S95" s="432" t="n">
        <v>0.458863973747949</v>
      </c>
      <c r="T95" s="432" t="n">
        <v>0.51117970062436</v>
      </c>
      <c r="U95" s="488"/>
      <c r="V95" s="488"/>
    </row>
    <row r="96" customFormat="false" ht="12.75" hidden="false" customHeight="true" outlineLevel="0" collapsed="false">
      <c r="A96" s="486" t="s">
        <v>1153</v>
      </c>
      <c r="B96" s="487" t="n">
        <v>106</v>
      </c>
      <c r="C96" s="432" t="n">
        <v>0.0243</v>
      </c>
      <c r="D96" s="432" t="n">
        <v>0.0677</v>
      </c>
      <c r="E96" s="432" t="n">
        <v>0.144</v>
      </c>
      <c r="F96" s="432" t="n">
        <v>0.0533980582524272</v>
      </c>
      <c r="G96" s="432" t="n">
        <v>0.224177777777778</v>
      </c>
      <c r="H96" s="432" t="n">
        <v>0.299700115340254</v>
      </c>
      <c r="I96" s="476" t="n">
        <v>0.220602030907984</v>
      </c>
      <c r="J96" s="476" t="n">
        <v>0.32630968176488</v>
      </c>
      <c r="K96" s="476" t="n">
        <v>0.61309151553054</v>
      </c>
      <c r="L96" s="432" t="n">
        <v>0.0587798168908372</v>
      </c>
      <c r="M96" s="432" t="n">
        <v>0.0616006506491439</v>
      </c>
      <c r="N96" s="432" t="n">
        <v>0.0650328015780176</v>
      </c>
      <c r="O96" s="476" t="n">
        <v>0.226131920787568</v>
      </c>
      <c r="P96" s="476" t="n">
        <v>0.57371493681321</v>
      </c>
      <c r="Q96" s="476" t="n">
        <v>1.08543364185767</v>
      </c>
      <c r="R96" s="432" t="n">
        <v>0.115983026874116</v>
      </c>
      <c r="S96" s="432" t="n">
        <v>0.349960797609714</v>
      </c>
      <c r="T96" s="432" t="n">
        <v>0.618484967835106</v>
      </c>
      <c r="U96" s="488"/>
      <c r="V96" s="488"/>
    </row>
  </sheetData>
  <mergeCells count="5">
    <mergeCell ref="C1:E1"/>
    <mergeCell ref="F1:H1"/>
    <mergeCell ref="I1:K1"/>
    <mergeCell ref="L1:N1"/>
    <mergeCell ref="R1:T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73046875" defaultRowHeight="12.75" customHeight="false" zeroHeight="false" outlineLevelRow="0" outlineLevelCol="0"/>
  <cols>
    <col collapsed="false" customWidth="true" hidden="false" outlineLevel="0" max="1" min="1" style="98" width="34"/>
    <col collapsed="false" customWidth="true" hidden="false" outlineLevel="0" max="2" min="2" style="348" width="16"/>
    <col collapsed="false" customWidth="true" hidden="false" outlineLevel="0" max="3" min="3" style="348" width="19.84"/>
    <col collapsed="false" customWidth="true" hidden="false" outlineLevel="0" max="4" min="4" style="348" width="22.18"/>
    <col collapsed="false" customWidth="true" hidden="false" outlineLevel="0" max="5" min="5" style="98" width="14.17"/>
  </cols>
  <sheetData>
    <row r="1" customFormat="false" ht="12.75" hidden="false" customHeight="true" outlineLevel="0" collapsed="false">
      <c r="A1" s="489" t="s">
        <v>1164</v>
      </c>
      <c r="B1" s="489"/>
      <c r="C1" s="489"/>
      <c r="D1" s="489"/>
      <c r="E1" s="489"/>
      <c r="F1" s="489"/>
    </row>
    <row r="2" customFormat="false" ht="12.75" hidden="false" customHeight="true" outlineLevel="0" collapsed="false">
      <c r="A2" s="489"/>
      <c r="B2" s="489"/>
      <c r="C2" s="489"/>
      <c r="D2" s="489"/>
      <c r="E2" s="489"/>
      <c r="F2" s="489"/>
    </row>
    <row r="3" customFormat="false" ht="12.75" hidden="false" customHeight="true" outlineLevel="0" collapsed="false">
      <c r="A3" s="489"/>
      <c r="B3" s="489"/>
      <c r="C3" s="489"/>
      <c r="D3" s="489"/>
      <c r="E3" s="489"/>
      <c r="F3" s="489"/>
    </row>
    <row r="4" customFormat="false" ht="13.5" hidden="false" customHeight="true" outlineLevel="0" collapsed="false">
      <c r="A4" s="489"/>
      <c r="B4" s="489"/>
      <c r="C4" s="489"/>
      <c r="D4" s="489"/>
      <c r="E4" s="489"/>
      <c r="F4" s="489"/>
    </row>
    <row r="6" customFormat="false" ht="12.75" hidden="false" customHeight="true" outlineLevel="0" collapsed="false">
      <c r="B6" s="453" t="s">
        <v>1165</v>
      </c>
      <c r="C6" s="453" t="s">
        <v>1166</v>
      </c>
      <c r="D6" s="453" t="s">
        <v>1167</v>
      </c>
      <c r="E6" s="453" t="s">
        <v>1168</v>
      </c>
    </row>
    <row r="7" customFormat="false" ht="13.5" hidden="false" customHeight="true" outlineLevel="0" collapsed="false">
      <c r="A7" s="490" t="s">
        <v>250</v>
      </c>
      <c r="B7" s="491" t="n">
        <v>34296</v>
      </c>
      <c r="C7" s="491" t="n">
        <v>24617</v>
      </c>
      <c r="D7" s="491" t="n">
        <v>32192</v>
      </c>
      <c r="E7" s="492" t="n">
        <f aca="false">B7-C7+D7</f>
        <v>41871</v>
      </c>
    </row>
    <row r="8" customFormat="false" ht="13.5" hidden="false" customHeight="true" outlineLevel="0" collapsed="false">
      <c r="A8" s="490" t="s">
        <v>1169</v>
      </c>
      <c r="B8" s="491" t="n">
        <v>2518</v>
      </c>
      <c r="C8" s="491" t="n">
        <v>1637</v>
      </c>
      <c r="D8" s="491" t="n">
        <v>2824</v>
      </c>
      <c r="E8" s="492" t="n">
        <f aca="false">B8-C8+D8</f>
        <v>3705</v>
      </c>
    </row>
    <row r="9" customFormat="false" ht="13.5" hidden="false" customHeight="true" outlineLevel="0" collapsed="false">
      <c r="A9" s="490" t="s">
        <v>1170</v>
      </c>
      <c r="B9" s="491" t="n">
        <v>2710</v>
      </c>
      <c r="C9" s="491" t="n">
        <v>1723</v>
      </c>
      <c r="D9" s="491" t="n">
        <v>3985</v>
      </c>
      <c r="E9" s="492" t="n">
        <f aca="false">B9-C9+D9</f>
        <v>4972</v>
      </c>
    </row>
    <row r="10" customFormat="false" ht="13.5" hidden="false" customHeight="true" outlineLevel="0" collapsed="false">
      <c r="A10" s="490" t="s">
        <v>1171</v>
      </c>
      <c r="B10" s="491" t="n">
        <v>1018</v>
      </c>
      <c r="C10" s="491" t="n">
        <v>0</v>
      </c>
      <c r="D10" s="491" t="n">
        <v>0</v>
      </c>
      <c r="E10" s="492" t="n">
        <f aca="false">B10-C10+D10</f>
        <v>1018</v>
      </c>
    </row>
    <row r="11" customFormat="false" ht="13.5" hidden="false" customHeight="true" outlineLevel="0" collapsed="false">
      <c r="A11" s="490" t="s">
        <v>253</v>
      </c>
      <c r="B11" s="491" t="n">
        <v>24754</v>
      </c>
      <c r="C11" s="491"/>
      <c r="D11" s="491" t="n">
        <v>26576</v>
      </c>
      <c r="E11" s="492"/>
    </row>
    <row r="12" customFormat="false" ht="13.5" hidden="false" customHeight="true" outlineLevel="0" collapsed="false">
      <c r="A12" s="490" t="s">
        <v>254</v>
      </c>
      <c r="B12" s="491" t="n">
        <v>22365</v>
      </c>
      <c r="C12" s="491"/>
      <c r="D12" s="491" t="n">
        <v>20244</v>
      </c>
      <c r="E12" s="492"/>
    </row>
    <row r="13" customFormat="false" ht="13.5" hidden="false" customHeight="true" outlineLevel="0" collapsed="false">
      <c r="A13" s="490" t="s">
        <v>257</v>
      </c>
      <c r="B13" s="491" t="s">
        <v>64</v>
      </c>
      <c r="C13" s="491"/>
      <c r="D13" s="491"/>
      <c r="E13" s="492"/>
    </row>
    <row r="14" customFormat="false" ht="13.5" hidden="false" customHeight="true" outlineLevel="0" collapsed="false">
      <c r="A14" s="490" t="s">
        <v>1172</v>
      </c>
      <c r="B14" s="491" t="n">
        <v>6728</v>
      </c>
      <c r="C14" s="491"/>
      <c r="D14" s="491" t="n">
        <v>6216</v>
      </c>
      <c r="E14" s="492"/>
    </row>
    <row r="15" customFormat="false" ht="13.5" hidden="false" customHeight="true" outlineLevel="0" collapsed="false">
      <c r="A15" s="490" t="s">
        <v>1173</v>
      </c>
      <c r="B15" s="491" t="n">
        <v>0</v>
      </c>
      <c r="C15" s="491"/>
      <c r="D15" s="491" t="n">
        <v>0</v>
      </c>
      <c r="E15" s="492"/>
    </row>
    <row r="16" customFormat="false" ht="13.5" hidden="false" customHeight="true" outlineLevel="0" collapsed="false">
      <c r="A16" s="490" t="s">
        <v>261</v>
      </c>
      <c r="B16" s="491" t="n">
        <v>66</v>
      </c>
      <c r="C16" s="491"/>
      <c r="D16" s="491" t="n">
        <v>62</v>
      </c>
      <c r="E16" s="492"/>
    </row>
    <row r="17" customFormat="false" ht="13.5" hidden="false" customHeight="true" outlineLevel="0" collapsed="false">
      <c r="A17" s="490" t="s">
        <v>262</v>
      </c>
      <c r="B17" s="491"/>
      <c r="C17" s="491"/>
      <c r="D17" s="491" t="n">
        <v>1445.21</v>
      </c>
      <c r="E17" s="492"/>
    </row>
    <row r="18" customFormat="false" ht="13.5" hidden="false" customHeight="true" outlineLevel="0" collapsed="false">
      <c r="A18" s="490" t="s">
        <v>264</v>
      </c>
      <c r="B18" s="491"/>
      <c r="C18" s="491"/>
      <c r="D18" s="491" t="n">
        <v>62.0900001525879</v>
      </c>
      <c r="E18" s="492"/>
    </row>
    <row r="19" customFormat="false" ht="13.5" hidden="false" customHeight="true" outlineLevel="0" collapsed="false">
      <c r="A19" s="490" t="s">
        <v>266</v>
      </c>
      <c r="B19" s="454" t="n">
        <v>0.15</v>
      </c>
      <c r="C19" s="454" t="n">
        <v>0.15</v>
      </c>
      <c r="D19" s="454" t="n">
        <v>0.14</v>
      </c>
      <c r="E19" s="461"/>
    </row>
    <row r="20" customFormat="false" ht="13.5" hidden="false" customHeight="true" outlineLevel="0" collapsed="false">
      <c r="A20" s="490" t="s">
        <v>268</v>
      </c>
      <c r="B20" s="453" t="n">
        <v>0.21</v>
      </c>
      <c r="C20" s="453"/>
      <c r="D20" s="453"/>
      <c r="E20" s="461"/>
    </row>
    <row r="21" s="190" customFormat="true" ht="13.5" hidden="false" customHeight="true" outlineLevel="0" collapsed="false">
      <c r="A21" s="493" t="s">
        <v>1174</v>
      </c>
      <c r="B21" s="494"/>
      <c r="C21" s="494"/>
      <c r="D21" s="494"/>
      <c r="E21" s="495"/>
    </row>
    <row r="22" customFormat="false" ht="13.5" hidden="false" customHeight="true" outlineLevel="0" collapsed="false">
      <c r="A22" s="496" t="s">
        <v>1175</v>
      </c>
      <c r="B22" s="497" t="n">
        <v>0</v>
      </c>
      <c r="C22" s="498"/>
      <c r="D22" s="498" t="s">
        <v>1093</v>
      </c>
      <c r="E22" s="499"/>
    </row>
    <row r="23" customFormat="false" ht="13.5" hidden="false" customHeight="true" outlineLevel="0" collapsed="false">
      <c r="A23" s="496" t="s">
        <v>1176</v>
      </c>
      <c r="B23" s="497" t="n">
        <v>0</v>
      </c>
      <c r="C23" s="500" t="s">
        <v>1177</v>
      </c>
      <c r="D23" s="498" t="s">
        <v>1093</v>
      </c>
      <c r="E23" s="499"/>
    </row>
    <row r="24" customFormat="false" ht="13.5" hidden="false" customHeight="true" outlineLevel="0" collapsed="false">
      <c r="A24" s="496" t="s">
        <v>1178</v>
      </c>
      <c r="B24" s="497" t="n">
        <v>0</v>
      </c>
      <c r="C24" s="500"/>
      <c r="D24" s="498" t="s">
        <v>1093</v>
      </c>
      <c r="E24" s="499"/>
    </row>
    <row r="25" customFormat="false" ht="13.5" hidden="false" customHeight="true" outlineLevel="0" collapsed="false">
      <c r="A25" s="496" t="s">
        <v>1179</v>
      </c>
      <c r="B25" s="497" t="n">
        <v>0</v>
      </c>
      <c r="C25" s="500"/>
      <c r="D25" s="498" t="s">
        <v>1093</v>
      </c>
      <c r="E25" s="499"/>
    </row>
    <row r="26" customFormat="false" ht="13.5" hidden="false" customHeight="true" outlineLevel="0" collapsed="false">
      <c r="A26" s="496" t="s">
        <v>446</v>
      </c>
      <c r="B26" s="497" t="n">
        <v>0</v>
      </c>
      <c r="C26" s="500"/>
      <c r="D26" s="498" t="s">
        <v>1093</v>
      </c>
      <c r="E26" s="499"/>
    </row>
    <row r="27" customFormat="false" ht="13.5" hidden="false" customHeight="true" outlineLevel="0" collapsed="false">
      <c r="A27" s="496" t="s">
        <v>1180</v>
      </c>
      <c r="B27" s="355" t="n">
        <v>0</v>
      </c>
      <c r="C27" s="500"/>
      <c r="D27" s="498" t="s">
        <v>1093</v>
      </c>
      <c r="E27" s="499"/>
    </row>
    <row r="28" customFormat="false" ht="12.75" hidden="false" customHeight="true" outlineLevel="0" collapsed="false">
      <c r="B28" s="501"/>
      <c r="C28" s="500"/>
    </row>
    <row r="30" customFormat="false" ht="13.5" hidden="false" customHeight="true" outlineLevel="0" collapsed="false">
      <c r="A30" s="496" t="s">
        <v>1181</v>
      </c>
      <c r="B30" s="502" t="n">
        <v>0</v>
      </c>
    </row>
    <row r="34" customFormat="false" ht="12.75" hidden="false" customHeight="true" outlineLevel="0" collapsed="false">
      <c r="D34" s="491"/>
    </row>
    <row r="35" customFormat="false" ht="12.75" hidden="false" customHeight="true" outlineLevel="0" collapsed="false">
      <c r="D35" s="491" t="n">
        <v>2404</v>
      </c>
    </row>
    <row r="36" customFormat="false" ht="12.75" hidden="false" customHeight="true" outlineLevel="0" collapsed="false">
      <c r="D36" s="491" t="n">
        <v>24171</v>
      </c>
    </row>
    <row r="37" customFormat="false" ht="12.75" hidden="false" customHeight="true" outlineLevel="0" collapsed="false">
      <c r="D37" s="491" t="n">
        <v>276</v>
      </c>
    </row>
    <row r="41" customFormat="false" ht="12.75" hidden="false" customHeight="true" outlineLevel="0" collapsed="false">
      <c r="A41" s="98" t="s">
        <v>1182</v>
      </c>
      <c r="B41" s="348" t="n">
        <v>630.29</v>
      </c>
      <c r="C41" s="348" t="n">
        <v>286.14</v>
      </c>
      <c r="D41" s="348" t="n">
        <v>426.61</v>
      </c>
      <c r="E41" s="98" t="n">
        <f aca="false">B41-C41+D41</f>
        <v>770.76</v>
      </c>
    </row>
    <row r="42" customFormat="false" ht="12.75" hidden="false" customHeight="true" outlineLevel="0" collapsed="false">
      <c r="A42" s="98" t="s">
        <v>1183</v>
      </c>
      <c r="B42" s="348" t="n">
        <v>2369.47</v>
      </c>
      <c r="C42" s="348" t="n">
        <v>1128.78</v>
      </c>
      <c r="D42" s="348" t="n">
        <v>1219.73</v>
      </c>
      <c r="E42" s="98" t="n">
        <f aca="false">B42-C42+D42</f>
        <v>2460.42</v>
      </c>
    </row>
    <row r="43" customFormat="false" ht="12.75" hidden="false" customHeight="true" outlineLevel="0" collapsed="false">
      <c r="A43" s="98" t="s">
        <v>1184</v>
      </c>
      <c r="B43" s="348" t="n">
        <v>9967.54</v>
      </c>
      <c r="C43" s="348" t="n">
        <v>4703.01</v>
      </c>
      <c r="D43" s="348" t="n">
        <v>5876.21</v>
      </c>
      <c r="E43" s="98" t="n">
        <f aca="false">B43-C43+D43</f>
        <v>11140.74</v>
      </c>
    </row>
    <row r="45" customFormat="false" ht="12.75" hidden="false" customHeight="true" outlineLevel="0" collapsed="false">
      <c r="A45" s="98" t="s">
        <v>1185</v>
      </c>
      <c r="B45" s="348" t="n">
        <v>13043</v>
      </c>
      <c r="C45" s="348" t="n">
        <v>6020.47</v>
      </c>
      <c r="D45" s="348" t="n">
        <v>6322.85</v>
      </c>
      <c r="E45" s="98" t="n">
        <f aca="false">B45-C45+D45</f>
        <v>13345.38</v>
      </c>
    </row>
  </sheetData>
  <mergeCells count="2">
    <mergeCell ref="A1:F4"/>
    <mergeCell ref="C23:C2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4" activeCellId="0" sqref="H4"/>
    </sheetView>
  </sheetViews>
  <sheetFormatPr defaultColWidth="10.73046875" defaultRowHeight="12.75" customHeight="false" zeroHeight="false" outlineLevelRow="0" outlineLevelCol="0"/>
  <cols>
    <col collapsed="false" customWidth="true" hidden="false" outlineLevel="0" max="1" min="1" style="98" width="6.33"/>
    <col collapsed="false" customWidth="true" hidden="false" outlineLevel="0" max="2" min="2" style="98" width="16.51"/>
    <col collapsed="false" customWidth="true" hidden="false" outlineLevel="0" max="3" min="3" style="98" width="18.33"/>
    <col collapsed="false" customWidth="true" hidden="false" outlineLevel="0" max="5" min="4" style="98" width="12.33"/>
    <col collapsed="false" customWidth="true" hidden="false" outlineLevel="0" max="6" min="6" style="98" width="17.66"/>
    <col collapsed="false" customWidth="true" hidden="false" outlineLevel="0" max="9" min="9" style="98" width="20.33"/>
    <col collapsed="false" customWidth="true" hidden="false" outlineLevel="0" max="10" min="10" style="98" width="18.85"/>
  </cols>
  <sheetData>
    <row r="1" s="503" customFormat="true" ht="12.75" hidden="false" customHeight="true" outlineLevel="0" collapsed="false">
      <c r="A1" s="503" t="s">
        <v>1186</v>
      </c>
      <c r="B1" s="503" t="s">
        <v>1187</v>
      </c>
      <c r="C1" s="503" t="s">
        <v>1188</v>
      </c>
      <c r="D1" s="503" t="s">
        <v>1189</v>
      </c>
      <c r="E1" s="503" t="s">
        <v>1190</v>
      </c>
      <c r="F1" s="503" t="s">
        <v>1159</v>
      </c>
      <c r="G1" s="503" t="s">
        <v>555</v>
      </c>
      <c r="H1" s="503" t="s">
        <v>747</v>
      </c>
      <c r="I1" s="503" t="s">
        <v>1191</v>
      </c>
      <c r="J1" s="503" t="s">
        <v>1192</v>
      </c>
    </row>
    <row r="2" customFormat="false" ht="12.75" hidden="false" customHeight="true" outlineLevel="0" collapsed="false">
      <c r="A2" s="98" t="s">
        <v>109</v>
      </c>
      <c r="B2" s="98" t="s">
        <v>567</v>
      </c>
      <c r="C2" s="98" t="s">
        <v>1193</v>
      </c>
      <c r="D2" s="98" t="s">
        <v>1194</v>
      </c>
      <c r="E2" s="98" t="n">
        <v>1</v>
      </c>
      <c r="F2" s="98" t="s">
        <v>1194</v>
      </c>
      <c r="G2" s="98" t="s">
        <v>577</v>
      </c>
      <c r="H2" s="461" t="s">
        <v>801</v>
      </c>
      <c r="I2" s="98" t="s">
        <v>1195</v>
      </c>
      <c r="J2" s="453" t="n">
        <v>0</v>
      </c>
    </row>
    <row r="3" customFormat="false" ht="12.75" hidden="false" customHeight="true" outlineLevel="0" collapsed="false">
      <c r="A3" s="98" t="s">
        <v>64</v>
      </c>
      <c r="B3" s="98" t="s">
        <v>325</v>
      </c>
      <c r="C3" s="98" t="s">
        <v>243</v>
      </c>
      <c r="D3" s="98" t="s">
        <v>1190</v>
      </c>
      <c r="E3" s="98" t="n">
        <v>2</v>
      </c>
      <c r="F3" s="98" t="s">
        <v>1196</v>
      </c>
      <c r="G3" s="98" t="s">
        <v>576</v>
      </c>
      <c r="H3" s="504" t="s">
        <v>802</v>
      </c>
      <c r="I3" s="98" t="s">
        <v>114</v>
      </c>
      <c r="J3" s="453" t="n">
        <v>1</v>
      </c>
    </row>
    <row r="4" customFormat="false" ht="12.75" hidden="false" customHeight="true" outlineLevel="0" collapsed="false">
      <c r="C4" s="98" t="s">
        <v>1197</v>
      </c>
      <c r="D4" s="98" t="s">
        <v>150</v>
      </c>
      <c r="F4" s="98" t="s">
        <v>1198</v>
      </c>
      <c r="G4" s="98" t="s">
        <v>575</v>
      </c>
      <c r="H4" s="504" t="s">
        <v>271</v>
      </c>
      <c r="I4" s="98" t="s">
        <v>440</v>
      </c>
      <c r="J4" s="453" t="n">
        <v>2</v>
      </c>
    </row>
    <row r="5" customFormat="false" ht="12.75" hidden="false" customHeight="true" outlineLevel="0" collapsed="false">
      <c r="C5" s="98" t="s">
        <v>128</v>
      </c>
      <c r="F5" s="98" t="s">
        <v>116</v>
      </c>
      <c r="G5" s="98" t="s">
        <v>574</v>
      </c>
      <c r="H5" s="504" t="s">
        <v>803</v>
      </c>
      <c r="I5" s="98" t="s">
        <v>1199</v>
      </c>
      <c r="J5" s="453" t="n">
        <v>3</v>
      </c>
    </row>
    <row r="6" customFormat="false" ht="12.75" hidden="false" customHeight="true" outlineLevel="0" collapsed="false">
      <c r="F6" s="98" t="s">
        <v>1200</v>
      </c>
      <c r="G6" s="98" t="s">
        <v>573</v>
      </c>
      <c r="H6" s="504" t="s">
        <v>804</v>
      </c>
    </row>
    <row r="7" customFormat="false" ht="12.75" hidden="false" customHeight="true" outlineLevel="0" collapsed="false">
      <c r="G7" s="98" t="s">
        <v>152</v>
      </c>
    </row>
    <row r="8" customFormat="false" ht="12.75" hidden="false" customHeight="true" outlineLevel="0" collapsed="false">
      <c r="G8" s="98" t="s">
        <v>572</v>
      </c>
    </row>
    <row r="9" customFormat="false" ht="12.75" hidden="false" customHeight="true" outlineLevel="0" collapsed="false">
      <c r="G9" s="98" t="s">
        <v>571</v>
      </c>
    </row>
    <row r="10" customFormat="false" ht="12.75" hidden="false" customHeight="true" outlineLevel="0" collapsed="false">
      <c r="G10" s="98" t="s">
        <v>570</v>
      </c>
    </row>
    <row r="11" customFormat="false" ht="12.75" hidden="false" customHeight="true" outlineLevel="0" collapsed="false">
      <c r="G11" s="98" t="s">
        <v>568</v>
      </c>
    </row>
    <row r="12" customFormat="false" ht="12.75" hidden="false" customHeight="true" outlineLevel="0" collapsed="false">
      <c r="G12" s="98" t="s">
        <v>566</v>
      </c>
    </row>
    <row r="13" customFormat="false" ht="12.75" hidden="false" customHeight="true" outlineLevel="0" collapsed="false">
      <c r="G13" s="98" t="s">
        <v>560</v>
      </c>
    </row>
    <row r="14" customFormat="false" ht="12.75" hidden="false" customHeight="true" outlineLevel="0" collapsed="false">
      <c r="G14" s="98" t="s">
        <v>562</v>
      </c>
    </row>
    <row r="15" customFormat="false" ht="12.75" hidden="false" customHeight="true" outlineLevel="0" collapsed="false">
      <c r="G15" s="98" t="s">
        <v>564</v>
      </c>
    </row>
    <row r="16" customFormat="false" ht="12.75" hidden="false" customHeight="true" outlineLevel="0" collapsed="false">
      <c r="G16" s="98" t="s">
        <v>558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LibreOffice/25.8.6.2$Linux_X86_64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Aswath Damodaran</cp:lastModifiedBy>
  <cp:lastPrinted>2011-01-17T15:04:26Z</cp:lastPrinted>
  <dcterms:modified xsi:type="dcterms:W3CDTF">2026-09-14T19:18:23Z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