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Historical" sheetId="2" r:id="rId2"/>
    <sheet name="DCF Downside" sheetId="3" r:id="rId3"/>
    <sheet name="DCF Base" sheetId="4" r:id="rId4"/>
    <sheet name="DCF Upside" sheetId="5" r:id="rId5"/>
    <sheet name="DCF summary" sheetId="6" r:id="rId6"/>
    <sheet name="Sensitivity" sheetId="7" r:id="rId7"/>
    <sheet name="Earnings scenarios" sheetId="8" r:id="rId8"/>
    <sheet name="Peers" sheetId="9" r:id="rId9"/>
    <sheet name="Stock returns" sheetId="10" r:id="rId10"/>
    <sheet name="Events" sheetId="11" r:id="rId11"/>
    <sheet name="Options snapshot" sheetId="12" r:id="rId12"/>
    <sheet name="Options summary" sheetId="13" r:id="rId13"/>
    <sheet name="Financial audit" sheetId="14" r:id="rId14"/>
    <sheet name="Manual input audit" sheetId="15" r:id="rId15"/>
    <sheet name="Peer financial audit" sheetId="16" r:id="rId16"/>
    <sheet name="Sources" sheetId="17" r:id="rId17"/>
  </sheets>
  <definedNames>
    <definedName name="_xlnm._FilterDatabase" localSheetId="5" hidden="1">'DCF summary'!$A$1:$L$4</definedName>
    <definedName name="_xlnm._FilterDatabase" localSheetId="7" hidden="1">'Earnings scenarios'!$A$1:$Z$4</definedName>
    <definedName name="_xlnm._FilterDatabase" localSheetId="10" hidden="1">Events!$A$1:$J$15</definedName>
    <definedName name="_xlnm._FilterDatabase" localSheetId="13" hidden="1">'Financial audit'!$A$1:$M$259</definedName>
    <definedName name="_xlnm._FilterDatabase" localSheetId="1" hidden="1">Historical!$A$1:$BH$9</definedName>
    <definedName name="_xlnm._FilterDatabase" localSheetId="14" hidden="1">'Manual input audit'!$A$1:$I$29</definedName>
    <definedName name="_xlnm._FilterDatabase" localSheetId="11" hidden="1">'Options snapshot'!$A$1:$AA$49</definedName>
    <definedName name="_xlnm._FilterDatabase" localSheetId="12" hidden="1">'Options summary'!$A$1:$M$6</definedName>
    <definedName name="_xlnm._FilterDatabase" localSheetId="15" hidden="1">'Peer financial audit'!$A$1:$N$62</definedName>
    <definedName name="_xlnm._FilterDatabase" localSheetId="8" hidden="1">Peers!$A$1:$AC$4</definedName>
    <definedName name="_xlnm._FilterDatabase" localSheetId="16" hidden="1">Sources!$A$1:$M$59</definedName>
    <definedName name="_xlnm._FilterDatabase" localSheetId="9" hidden="1">'Stock returns'!$A$1:$K$9</definedName>
  </definedNames>
  <calcPr calcId="124519" fullCalcOnLoad="1"/>
</workbook>
</file>

<file path=xl/sharedStrings.xml><?xml version="1.0" encoding="utf-8"?>
<sst xmlns="http://schemas.openxmlformats.org/spreadsheetml/2006/main" count="5388" uniqueCount="814">
  <si>
    <t>Valuation date</t>
  </si>
  <si>
    <t>18 September 2026; USD millions except per-share data and explicit percentages.</t>
  </si>
  <si>
    <t>Inputs</t>
  </si>
  <si>
    <t>Blue cells are analyst assumptions. Financial facts are linked by accession and tag in Financial audit.</t>
  </si>
  <si>
    <t>Historical TTM</t>
  </si>
  <si>
    <t>FY2025 + H1 2026 - H1 2025. Reported cutoffs create a 371-day trailing period. Interim shares weighted by day count.</t>
  </si>
  <si>
    <t>Value-added sales</t>
  </si>
  <si>
    <t>2021 and 2022 use the comparable recast figures disclosed in the FY2023 10-K. These differ from originally published VA sales.</t>
  </si>
  <si>
    <t>FCF</t>
  </si>
  <si>
    <t>Operating cash flow less PPE spending AND separately reported mine-development spending. Excludes acquisitions. Annual mining outflows: zero separately reported in 2021-22, $9.326m in 2023, $12.159m in 2024, $26.288m in 2025.</t>
  </si>
  <si>
    <t>Adjusted EBITDA</t>
  </si>
  <si>
    <t>Company-reported non-GAAP metric; 2021-22 from 2023 investor deck; 2023 from Q4 deck; 2024-25 from FY2025 release; TTM 237.2 from Q2 2026 slide 16.</t>
  </si>
  <si>
    <t>DCF periods</t>
  </si>
  <si>
    <t>Five prospective 12-month years ending September 18, 2027-2031; year-end discounting; terminal reinvestment reset to terminal growth.</t>
  </si>
  <si>
    <t>Balance-sheet bridge</t>
  </si>
  <si>
    <t>Debt principal + estimated finance leases + retirement liability - cash. Operating lease expense remains in operating forecasts.</t>
  </si>
  <si>
    <t>Share count</t>
  </si>
  <si>
    <t>20.834m latest balance-sheet common shares for market cap; 21.15m prospective diluted shares for DCF and earnings scenarios.</t>
  </si>
  <si>
    <t>Capital spending</t>
  </si>
  <si>
    <t>Q2 deck: $75m PPE plus $25m mine development. Q2 10-Q prose says $100m PPE. Disclosure discrepancy retained in report; $100m total base anchor and $125m downside cash sensitivity.</t>
  </si>
  <si>
    <t>Model status</t>
  </si>
  <si>
    <t>Formulas include cached numerical values verified against Python; formulas recalculate when changed in Excel. Scenario and DCF assumptions are analyst estimates.</t>
  </si>
  <si>
    <t>Options</t>
  </si>
  <si>
    <t>Saved real Cboe quotes; no strategies or calculated Greeks because liquidity screen failed. Vendor Greeks remain identified as vendor values.</t>
  </si>
  <si>
    <t>Peer limits</t>
  </si>
  <si>
    <t>ENTG, CRS, ATI are adjacent valuation references, not identical operating competitors. Peer market caps use latest available diluted weighted-average shares.</t>
  </si>
  <si>
    <t>Rebuild</t>
  </si>
  <si>
    <t>Run python MTRN/code/run_analysis.py from repository root after installing MTRN/code/requirements.txt.</t>
  </si>
  <si>
    <t>period</t>
  </si>
  <si>
    <t>start</t>
  </si>
  <si>
    <t>end</t>
  </si>
  <si>
    <t>revenue</t>
  </si>
  <si>
    <t>gross_profit</t>
  </si>
  <si>
    <t>operating_income</t>
  </si>
  <si>
    <t>net_income</t>
  </si>
  <si>
    <t>tax</t>
  </si>
  <si>
    <t>interest</t>
  </si>
  <si>
    <t>cfo</t>
  </si>
  <si>
    <t>ppe_capex</t>
  </si>
  <si>
    <t>mine_capex</t>
  </si>
  <si>
    <t>da</t>
  </si>
  <si>
    <t>amortization</t>
  </si>
  <si>
    <t>sbc</t>
  </si>
  <si>
    <t>rnd</t>
  </si>
  <si>
    <t>dividends</t>
  </si>
  <si>
    <t>repurchases</t>
  </si>
  <si>
    <t>diluted_shares</t>
  </si>
  <si>
    <t>basic_shares</t>
  </si>
  <si>
    <t>eps</t>
  </si>
  <si>
    <t>cash</t>
  </si>
  <si>
    <t>assets</t>
  </si>
  <si>
    <t>current_assets</t>
  </si>
  <si>
    <t>liabilities</t>
  </si>
  <si>
    <t>current_liabilities</t>
  </si>
  <si>
    <t>equity</t>
  </si>
  <si>
    <t>debt_current</t>
  </si>
  <si>
    <t>debt_noncurrent</t>
  </si>
  <si>
    <t>debt_face</t>
  </si>
  <si>
    <t>goodwill</t>
  </si>
  <si>
    <t>intangibles</t>
  </si>
  <si>
    <t>receivables</t>
  </si>
  <si>
    <t>inventory</t>
  </si>
  <si>
    <t>payables</t>
  </si>
  <si>
    <t>shares_issued</t>
  </si>
  <si>
    <t>treasury_shares</t>
  </si>
  <si>
    <t>finance_lease_current</t>
  </si>
  <si>
    <t>finance_lease_noncurrent</t>
  </si>
  <si>
    <t>va_sales</t>
  </si>
  <si>
    <t>adjusted_ebitda</t>
  </si>
  <si>
    <t>capex</t>
  </si>
  <si>
    <t>fcf</t>
  </si>
  <si>
    <t>debt</t>
  </si>
  <si>
    <t>net_debt</t>
  </si>
  <si>
    <t>ebitda</t>
  </si>
  <si>
    <t>operating_ebitda</t>
  </si>
  <si>
    <t>gross_margin</t>
  </si>
  <si>
    <t>gross_margin_va</t>
  </si>
  <si>
    <t>operating_margin</t>
  </si>
  <si>
    <t>net_margin</t>
  </si>
  <si>
    <t>fcf_margin</t>
  </si>
  <si>
    <t>sbc_revenue</t>
  </si>
  <si>
    <t>current_ratio</t>
  </si>
  <si>
    <t>debt_equity</t>
  </si>
  <si>
    <t>actual_shares</t>
  </si>
  <si>
    <t>interest_cover</t>
  </si>
  <si>
    <t>fcf_per_share</t>
  </si>
  <si>
    <t>fcf_conversion</t>
  </si>
  <si>
    <t>adjusted_ebitda_margin_va</t>
  </si>
  <si>
    <t>2021</t>
  </si>
  <si>
    <t>2021-01-01</t>
  </si>
  <si>
    <t>2021-12-31</t>
  </si>
  <si>
    <t>2022</t>
  </si>
  <si>
    <t>2022-01-01</t>
  </si>
  <si>
    <t>2022-12-31</t>
  </si>
  <si>
    <t>2023</t>
  </si>
  <si>
    <t>2023-01-01</t>
  </si>
  <si>
    <t>2023-12-31</t>
  </si>
  <si>
    <t>2024</t>
  </si>
  <si>
    <t>2024-01-01</t>
  </si>
  <si>
    <t>2024-12-31</t>
  </si>
  <si>
    <t>2025</t>
  </si>
  <si>
    <t>2025-01-01</t>
  </si>
  <si>
    <t>2025-12-31</t>
  </si>
  <si>
    <t>H1 2025</t>
  </si>
  <si>
    <t>2025-06-27</t>
  </si>
  <si>
    <t>Data unavailable</t>
  </si>
  <si>
    <t>H1 2026</t>
  </si>
  <si>
    <t>2026-01-01</t>
  </si>
  <si>
    <t>2026-07-03</t>
  </si>
  <si>
    <t>TTM</t>
  </si>
  <si>
    <t>2025-06-28</t>
  </si>
  <si>
    <t>Prospective DCF — Downside</t>
  </si>
  <si>
    <t>FY2026 VA anchor</t>
  </si>
  <si>
    <t>Prospective year</t>
  </si>
  <si>
    <t>VA sales growth</t>
  </si>
  <si>
    <t>EBITDA / VA sales</t>
  </si>
  <si>
    <t>EBITDA</t>
  </si>
  <si>
    <t>D&amp;A / VA sales</t>
  </si>
  <si>
    <t>D&amp;A</t>
  </si>
  <si>
    <t>EBIT</t>
  </si>
  <si>
    <t>Tax rate</t>
  </si>
  <si>
    <t>NOPAT</t>
  </si>
  <si>
    <t>Capex / VA sales</t>
  </si>
  <si>
    <t>Capex incl. mining</t>
  </si>
  <si>
    <t>NWC / incremental VA</t>
  </si>
  <si>
    <t>Change in NWC</t>
  </si>
  <si>
    <t>FCFF</t>
  </si>
  <si>
    <t>Present value of FCFF</t>
  </si>
  <si>
    <t>WACC</t>
  </si>
  <si>
    <t>Terminal growth</t>
  </si>
  <si>
    <t>Diluted shares</t>
  </si>
  <si>
    <t>Net claims</t>
  </si>
  <si>
    <t>Terminal VA sales</t>
  </si>
  <si>
    <t>Terminal EBITDA</t>
  </si>
  <si>
    <t>Terminal D&amp;A</t>
  </si>
  <si>
    <t>Terminal EBIT</t>
  </si>
  <si>
    <t>Terminal capex</t>
  </si>
  <si>
    <t>Terminal change NWC</t>
  </si>
  <si>
    <t>Terminal FCFF</t>
  </si>
  <si>
    <t>Terminal value</t>
  </si>
  <si>
    <t>PV of terminal value</t>
  </si>
  <si>
    <t>PV explicit cash flows</t>
  </si>
  <si>
    <t>Enterprise value</t>
  </si>
  <si>
    <t>Equity value</t>
  </si>
  <si>
    <t>Per-share value</t>
  </si>
  <si>
    <t>Terminal share of EV</t>
  </si>
  <si>
    <t>Terminal capex and working capital are recalculated at terminal growth; SBC remains an expense.</t>
  </si>
  <si>
    <t>Prospective DCF — Base</t>
  </si>
  <si>
    <t>Prospective DCF — Upside</t>
  </si>
  <si>
    <t>scenario</t>
  </si>
  <si>
    <t>pv_explicit</t>
  </si>
  <si>
    <t>pv_terminal</t>
  </si>
  <si>
    <t>enterprise</t>
  </si>
  <si>
    <t>per_share</t>
  </si>
  <si>
    <t>terminal_share</t>
  </si>
  <si>
    <t>terminal_fcff</t>
  </si>
  <si>
    <t>wacc</t>
  </si>
  <si>
    <t>g</t>
  </si>
  <si>
    <t>return_vs_price</t>
  </si>
  <si>
    <t>initial_va</t>
  </si>
  <si>
    <t>Downside</t>
  </si>
  <si>
    <t>Base</t>
  </si>
  <si>
    <t>Upside</t>
  </si>
  <si>
    <t>WACC / terminal g</t>
  </si>
  <si>
    <t>fy2026_va_anchor</t>
  </si>
  <si>
    <t>fy2027_va</t>
  </si>
  <si>
    <t>growth</t>
  </si>
  <si>
    <t>gross_margin_gaap</t>
  </si>
  <si>
    <t>ebitda_margin_va</t>
  </si>
  <si>
    <t>ebit</t>
  </si>
  <si>
    <t>operating_margin_gaap</t>
  </si>
  <si>
    <t>acquisition_amortization_addback</t>
  </si>
  <si>
    <t>adjusted_net_income</t>
  </si>
  <si>
    <t>nwc_ratio</t>
  </si>
  <si>
    <t>change_nwc</t>
  </si>
  <si>
    <t>fcff</t>
  </si>
  <si>
    <t>normalized_equity_fcf</t>
  </si>
  <si>
    <t>assumed_pe</t>
  </si>
  <si>
    <t>price</t>
  </si>
  <si>
    <t>price_return</t>
  </si>
  <si>
    <t>ticker</t>
  </si>
  <si>
    <t>period_end</t>
  </si>
  <si>
    <t>ebitda_operating</t>
  </si>
  <si>
    <t>shares</t>
  </si>
  <si>
    <t>market_cap_diluted</t>
  </si>
  <si>
    <t>ev</t>
  </si>
  <si>
    <t>pe</t>
  </si>
  <si>
    <t>ps</t>
  </si>
  <si>
    <t>pb</t>
  </si>
  <si>
    <t>ev_revenue</t>
  </si>
  <si>
    <t>ev_ebitda_operating</t>
  </si>
  <si>
    <t>ev_adjusted_ebitda</t>
  </si>
  <si>
    <t>fcf_yield</t>
  </si>
  <si>
    <t>ENTG</t>
  </si>
  <si>
    <t>2026-06-27</t>
  </si>
  <si>
    <t>CRS</t>
  </si>
  <si>
    <t>2026-06-30</t>
  </si>
  <si>
    <t>ATI</t>
  </si>
  <si>
    <t>2026-06-28</t>
  </si>
  <si>
    <t>first_date</t>
  </si>
  <si>
    <t>close</t>
  </si>
  <si>
    <t>1M</t>
  </si>
  <si>
    <t>3M</t>
  </si>
  <si>
    <t>YTD</t>
  </si>
  <si>
    <t>1Y</t>
  </si>
  <si>
    <t>3Y</t>
  </si>
  <si>
    <t>5Y</t>
  </si>
  <si>
    <t>5Y_vol</t>
  </si>
  <si>
    <t>5Y_max_drawdown</t>
  </si>
  <si>
    <t>MTRN</t>
  </si>
  <si>
    <t>1980-03-17</t>
  </si>
  <si>
    <t>SPY</t>
  </si>
  <si>
    <t>1993-01-29</t>
  </si>
  <si>
    <t>IWM</t>
  </si>
  <si>
    <t>2000-05-26</t>
  </si>
  <si>
    <t>XLB</t>
  </si>
  <si>
    <t>1998-12-22</t>
  </si>
  <si>
    <t>2000-07-11</t>
  </si>
  <si>
    <t>1973-02-21</t>
  </si>
  <si>
    <t>1999-11-29</t>
  </si>
  <si>
    <t>VNP.TO</t>
  </si>
  <si>
    <t>2007-12-20</t>
  </si>
  <si>
    <t>date</t>
  </si>
  <si>
    <t>event</t>
  </si>
  <si>
    <t>evidence</t>
  </si>
  <si>
    <t>return_1d</t>
  </si>
  <si>
    <t>excess_spy_1d</t>
  </si>
  <si>
    <t>return_3d</t>
  </si>
  <si>
    <t>excess_spy_3d</t>
  </si>
  <si>
    <t>return_5d</t>
  </si>
  <si>
    <t>excess_spy_5d</t>
  </si>
  <si>
    <t>next_day</t>
  </si>
  <si>
    <t>2007-02-12</t>
  </si>
  <si>
    <t>Large historical move; specific catalyst unverified</t>
  </si>
  <si>
    <t>unverified</t>
  </si>
  <si>
    <t>2020-03-16</t>
  </si>
  <si>
    <t>Pandemic market selloff; macro association</t>
  </si>
  <si>
    <t>context</t>
  </si>
  <si>
    <t>2022-11-02</t>
  </si>
  <si>
    <t>Q3 2022 earnings</t>
  </si>
  <si>
    <t>company earnings</t>
  </si>
  <si>
    <t>2023-02-16</t>
  </si>
  <si>
    <t>FY2022 earnings and 2023 outlook</t>
  </si>
  <si>
    <t>2024-02-15</t>
  </si>
  <si>
    <t>FY2023 earnings and 2024 outlook</t>
  </si>
  <si>
    <t>2025-07-30</t>
  </si>
  <si>
    <t>Q2 2025 earnings; China and tariff uncertainty</t>
  </si>
  <si>
    <t>2025-10-29</t>
  </si>
  <si>
    <t>Q3 2025 earnings date listed on IR calendar</t>
  </si>
  <si>
    <t>company event</t>
  </si>
  <si>
    <t>2026-02-12</t>
  </si>
  <si>
    <t>FY2025 earnings; $65m defense customer investment</t>
  </si>
  <si>
    <t>2026-04-29</t>
  </si>
  <si>
    <t>Q1 2026 results; improved outlook</t>
  </si>
  <si>
    <t>2026-07-28</t>
  </si>
  <si>
    <t>Large decline; specific catalyst unverified</t>
  </si>
  <si>
    <t>2026-07-29</t>
  </si>
  <si>
    <t>Second consecutive large decline; catalyst unverified</t>
  </si>
  <si>
    <t>2026-07-30</t>
  </si>
  <si>
    <t>Rebound; company-specific catalyst unverified</t>
  </si>
  <si>
    <t>2026-08-05</t>
  </si>
  <si>
    <t>Record Q2 2026; raised outlook</t>
  </si>
  <si>
    <t>2026-09-16</t>
  </si>
  <si>
    <t>FOMC raises rates 25bp; coincidence does not establish causality</t>
  </si>
  <si>
    <t>macro event</t>
  </si>
  <si>
    <t>contract</t>
  </si>
  <si>
    <t>expiration</t>
  </si>
  <si>
    <t>type</t>
  </si>
  <si>
    <t>strike</t>
  </si>
  <si>
    <t>spot</t>
  </si>
  <si>
    <t>bid</t>
  </si>
  <si>
    <t>ask</t>
  </si>
  <si>
    <t>last</t>
  </si>
  <si>
    <t>volume</t>
  </si>
  <si>
    <t>open_interest</t>
  </si>
  <si>
    <t>iv</t>
  </si>
  <si>
    <t>vendor_delta</t>
  </si>
  <si>
    <t>vendor_gamma</t>
  </si>
  <si>
    <t>vendor_theta</t>
  </si>
  <si>
    <t>vendor_vega</t>
  </si>
  <si>
    <t>quote_timestamp</t>
  </si>
  <si>
    <t>last_trade_timestamp</t>
  </si>
  <si>
    <t>underlying_last_trade_timestamp</t>
  </si>
  <si>
    <t>multiplier</t>
  </si>
  <si>
    <t>midpoint</t>
  </si>
  <si>
    <t>spread_pct</t>
  </si>
  <si>
    <t>days_to_expiration</t>
  </si>
  <si>
    <t>moneyness</t>
  </si>
  <si>
    <t>same_session</t>
  </si>
  <si>
    <t>trade_age_days</t>
  </si>
  <si>
    <t>usable</t>
  </si>
  <si>
    <t>liquidity_screen</t>
  </si>
  <si>
    <t>MTRN261016C00230000</t>
  </si>
  <si>
    <t>2026-10-16</t>
  </si>
  <si>
    <t>call</t>
  </si>
  <si>
    <t>2026-09-19 01:47:18</t>
  </si>
  <si>
    <t>2026-09-18T15:59:59</t>
  </si>
  <si>
    <t>MTRN261016P00230000</t>
  </si>
  <si>
    <t>put</t>
  </si>
  <si>
    <t>MTRN261016C00240000</t>
  </si>
  <si>
    <t>2026-09-09T10:01:39</t>
  </si>
  <si>
    <t>MTRN261016P00240000</t>
  </si>
  <si>
    <t>MTRN261016C00250000</t>
  </si>
  <si>
    <t>MTRN261016P00250000</t>
  </si>
  <si>
    <t>MTRN261016C00260000</t>
  </si>
  <si>
    <t>2026-09-08T11:51:36</t>
  </si>
  <si>
    <t>MTRN261016P00260000</t>
  </si>
  <si>
    <t>2026-08-24T09:59:09</t>
  </si>
  <si>
    <t>MTRN261016C00270000</t>
  </si>
  <si>
    <t>2026-09-18T09:44:57</t>
  </si>
  <si>
    <t>MTRN261016P00270000</t>
  </si>
  <si>
    <t>MTRN261016C00280000</t>
  </si>
  <si>
    <t>2026-09-18T11:03:12</t>
  </si>
  <si>
    <t>MTRN261016P00280000</t>
  </si>
  <si>
    <t>MTRN261120C00230000</t>
  </si>
  <si>
    <t>2026-11-20</t>
  </si>
  <si>
    <t>MTRN261120P00230000</t>
  </si>
  <si>
    <t>MTRN261120C00240000</t>
  </si>
  <si>
    <t>MTRN261120P00240000</t>
  </si>
  <si>
    <t>MTRN261120C00250000</t>
  </si>
  <si>
    <t>MTRN261120P00250000</t>
  </si>
  <si>
    <t>MTRN261120C00260000</t>
  </si>
  <si>
    <t>MTRN261120P00260000</t>
  </si>
  <si>
    <t>MTRN261120C00270000</t>
  </si>
  <si>
    <t>MTRN261120P00270000</t>
  </si>
  <si>
    <t>MTRN261120C00280000</t>
  </si>
  <si>
    <t>MTRN261120P00280000</t>
  </si>
  <si>
    <t>MTRN261218C00230000</t>
  </si>
  <si>
    <t>2026-12-18</t>
  </si>
  <si>
    <t>2026-09-08T09:34:51</t>
  </si>
  <si>
    <t>MTRN261218P00230000</t>
  </si>
  <si>
    <t>2026-08-18T13:06:35</t>
  </si>
  <si>
    <t>MTRN261218C00240000</t>
  </si>
  <si>
    <t>2026-09-10T10:18:06</t>
  </si>
  <si>
    <t>MTRN261218P00240000</t>
  </si>
  <si>
    <t>2026-06-11T13:10:47</t>
  </si>
  <si>
    <t>MTRN261218C00250000</t>
  </si>
  <si>
    <t>2026-08-26T12:53:22</t>
  </si>
  <si>
    <t>MTRN261218P00250000</t>
  </si>
  <si>
    <t>2026-09-14T09:30:02</t>
  </si>
  <si>
    <t>MTRN261218C00260000</t>
  </si>
  <si>
    <t>2026-09-08T11:21:50</t>
  </si>
  <si>
    <t>MTRN261218P00260000</t>
  </si>
  <si>
    <t>2026-08-11T10:28:17</t>
  </si>
  <si>
    <t>MTRN261218C00270000</t>
  </si>
  <si>
    <t>2026-08-21T13:04:14</t>
  </si>
  <si>
    <t>MTRN261218P00270000</t>
  </si>
  <si>
    <t>2026-08-05T13:07:14</t>
  </si>
  <si>
    <t>MTRN261218C00280000</t>
  </si>
  <si>
    <t>2026-09-03T10:14:53</t>
  </si>
  <si>
    <t>MTRN261218P00280000</t>
  </si>
  <si>
    <t>2026-08-10T10:05:43</t>
  </si>
  <si>
    <t>MTRN270319C00230000</t>
  </si>
  <si>
    <t>2027-03-19</t>
  </si>
  <si>
    <t>2026-09-04T10:50:25</t>
  </si>
  <si>
    <t>MTRN270319P00230000</t>
  </si>
  <si>
    <t>MTRN270319C00240000</t>
  </si>
  <si>
    <t>2026-09-03T10:42:43</t>
  </si>
  <si>
    <t>MTRN270319P00240000</t>
  </si>
  <si>
    <t>MTRN270319C00250000</t>
  </si>
  <si>
    <t>2026-09-14T12:00:48</t>
  </si>
  <si>
    <t>MTRN270319P00250000</t>
  </si>
  <si>
    <t>MTRN270319C00260000</t>
  </si>
  <si>
    <t>2026-09-11T09:55:55</t>
  </si>
  <si>
    <t>MTRN270319P00260000</t>
  </si>
  <si>
    <t>MTRN270319C00270000</t>
  </si>
  <si>
    <t>2026-08-10T10:40:03</t>
  </si>
  <si>
    <t>MTRN270319P00270000</t>
  </si>
  <si>
    <t>MTRN270319C00280000</t>
  </si>
  <si>
    <t>2026-08-05T10:52:17</t>
  </si>
  <si>
    <t>MTRN270319P00280000</t>
  </si>
  <si>
    <t>2026-08-06T10:24:12</t>
  </si>
  <si>
    <t>contracts</t>
  </si>
  <si>
    <t>call_volume</t>
  </si>
  <si>
    <t>put_volume</t>
  </si>
  <si>
    <t>call_oi</t>
  </si>
  <si>
    <t>put_oi</t>
  </si>
  <si>
    <t>put_call_volume</t>
  </si>
  <si>
    <t>put_call_oi</t>
  </si>
  <si>
    <t>median_spread</t>
  </si>
  <si>
    <t>atm_strike</t>
  </si>
  <si>
    <t>atm_iv</t>
  </si>
  <si>
    <t>days</t>
  </si>
  <si>
    <t>2026-09-18</t>
  </si>
  <si>
    <t>metric</t>
  </si>
  <si>
    <t>tag</t>
  </si>
  <si>
    <t>namespace</t>
  </si>
  <si>
    <t>unit</t>
  </si>
  <si>
    <t>val</t>
  </si>
  <si>
    <t>accn</t>
  </si>
  <si>
    <t>fy</t>
  </si>
  <si>
    <t>fp</t>
  </si>
  <si>
    <t>form</t>
  </si>
  <si>
    <t>filed</t>
  </si>
  <si>
    <t>frame</t>
  </si>
  <si>
    <t>RevenueFromContractWithCustomerExcludingAssessedTax</t>
  </si>
  <si>
    <t>us-gaap</t>
  </si>
  <si>
    <t>USD</t>
  </si>
  <si>
    <t>0001104657-24-000019</t>
  </si>
  <si>
    <t>FY</t>
  </si>
  <si>
    <t>10-K</t>
  </si>
  <si>
    <t>CY2021</t>
  </si>
  <si>
    <t>GrossProfit</t>
  </si>
  <si>
    <t>OperatingIncomeLoss</t>
  </si>
  <si>
    <t>NetIncomeLoss</t>
  </si>
  <si>
    <t>IncomeTaxExpenseBenefit</t>
  </si>
  <si>
    <t>MISSING</t>
  </si>
  <si>
    <t>NetCashProvidedByUsedInOperatingActivities</t>
  </si>
  <si>
    <t>PaymentsToAcquirePropertyPlantAndEquipment</t>
  </si>
  <si>
    <t>DepreciationDepletionAndAmortization</t>
  </si>
  <si>
    <t>AmortizationOfIntangibleAssets</t>
  </si>
  <si>
    <t>ShareBasedCompensation</t>
  </si>
  <si>
    <t>ResearchAndDevelopmentExpense</t>
  </si>
  <si>
    <t>PaymentsOfDividendsCommonStock</t>
  </si>
  <si>
    <t>PaymentsForRepurchaseOfCommonStock</t>
  </si>
  <si>
    <t>0001104657-23-000019</t>
  </si>
  <si>
    <t>WeightedAverageNumberOfDilutedSharesOutstanding</t>
  </si>
  <si>
    <t>WeightedAverageNumberOfSharesOutstandingBasic</t>
  </si>
  <si>
    <t>EarningsPerShareDiluted</t>
  </si>
  <si>
    <t>USD/shares</t>
  </si>
  <si>
    <t>CashAndCashEquivalentsAtCarryingValue</t>
  </si>
  <si>
    <t>CY2021Q4I</t>
  </si>
  <si>
    <t>Assets</t>
  </si>
  <si>
    <t>AssetsCurrent</t>
  </si>
  <si>
    <t>LiabilitiesCurrent</t>
  </si>
  <si>
    <t>StockholdersEquity</t>
  </si>
  <si>
    <t>0001104657-25-000024</t>
  </si>
  <si>
    <t>2025-02-19</t>
  </si>
  <si>
    <t>LongTermDebtCurrent</t>
  </si>
  <si>
    <t>LongTermDebtNoncurrent</t>
  </si>
  <si>
    <t>LongTermDebt</t>
  </si>
  <si>
    <t>Goodwill</t>
  </si>
  <si>
    <t>FiniteLivedIntangibleAssetsNet</t>
  </si>
  <si>
    <t>AccountsReceivableNetCurrent</t>
  </si>
  <si>
    <t>InventoryNet</t>
  </si>
  <si>
    <t>AccountsPayableCurrent</t>
  </si>
  <si>
    <t>CommonStockSharesIssued</t>
  </si>
  <si>
    <t>TreasuryStockShares</t>
  </si>
  <si>
    <t>FinanceLeaseLiabilityCurrent</t>
  </si>
  <si>
    <t>FinanceLeaseLiabilityNoncurrent</t>
  </si>
  <si>
    <t>InterestIncomeExpenseNet</t>
  </si>
  <si>
    <t>CY2022</t>
  </si>
  <si>
    <t>InterestExpenseNonoperating</t>
  </si>
  <si>
    <t>CY2022Q4I</t>
  </si>
  <si>
    <t>0001104657-26-000011</t>
  </si>
  <si>
    <t>TreasuryStockCommonShares</t>
  </si>
  <si>
    <t>CY2023</t>
  </si>
  <si>
    <t>PaymentsToAcquireOtherPropertyPlantAndEquipment</t>
  </si>
  <si>
    <t>CY2023Q4I</t>
  </si>
  <si>
    <t>IntangibleAssetsNetExcludingGoodwill</t>
  </si>
  <si>
    <t>CY2024</t>
  </si>
  <si>
    <t>CY2024Q4I</t>
  </si>
  <si>
    <t>0001104657-26-000044</t>
  </si>
  <si>
    <t>Q2</t>
  </si>
  <si>
    <t>10-Q</t>
  </si>
  <si>
    <t>CY2025</t>
  </si>
  <si>
    <t>CY2025Q4I</t>
  </si>
  <si>
    <t>PaymentsToAcquireMiningAssets</t>
  </si>
  <si>
    <t>0001104657-25-000144</t>
  </si>
  <si>
    <t>CY2025Q2I</t>
  </si>
  <si>
    <t>CY2026Q2I</t>
  </si>
  <si>
    <t>manual: cash flow statement mining development</t>
  </si>
  <si>
    <t>manual: statement of shareholders equity</t>
  </si>
  <si>
    <t>value</t>
  </si>
  <si>
    <t>classification</t>
  </si>
  <si>
    <t>source_key</t>
  </si>
  <si>
    <t>source_url</t>
  </si>
  <si>
    <t>local_path</t>
  </si>
  <si>
    <t>locator</t>
  </si>
  <si>
    <t>value_added_sales</t>
  </si>
  <si>
    <t>USD millions unless noted</t>
  </si>
  <si>
    <t>reported</t>
  </si>
  <si>
    <t>K23</t>
  </si>
  <si>
    <t>https://www.sec.gov/Archives/edgar/data/1104657/000110465724000019/mtrn-20231231.htm</t>
  </si>
  <si>
    <t>report/company_filings/10-K_2024-02-15_mtrn-20231231.htm</t>
  </si>
  <si>
    <t>MD&amp;A, net sales / pass-through reconciliation</t>
  </si>
  <si>
    <t>HISTDECK</t>
  </si>
  <si>
    <t>https://www.sec.gov/Archives/edgar/data/1104657/000110465723000047/materioncorporationinves.htm</t>
  </si>
  <si>
    <t>report/earnings_materials/Investor_2023.htm</t>
  </si>
  <si>
    <t>EBITDA reconciliation; TTM slide 16; historical 2023 investor deck slide 22</t>
  </si>
  <si>
    <t>DECK23</t>
  </si>
  <si>
    <t>https://s203.q4cdn.com/782025361/files/doc_presentations/2024/02/1/Materion-Corporation-Q4-2023-Earnings-Presentation.pdf</t>
  </si>
  <si>
    <t>report/earnings_materials/Q4_2023_presentation.pdf</t>
  </si>
  <si>
    <t>Adjusted EBITDA reconciliation</t>
  </si>
  <si>
    <t>K25</t>
  </si>
  <si>
    <t>https://www.sec.gov/Archives/edgar/data/1104657/000110465726000011/mtrn-20251231.htm</t>
  </si>
  <si>
    <t>report/company_filings/10-K_2026-02-12_mtrn-20251231.htm</t>
  </si>
  <si>
    <t>E25</t>
  </si>
  <si>
    <t>https://www.sec.gov/Archives/edgar/data/1104657/000110465726000006/q42025pressrelease.htm</t>
  </si>
  <si>
    <t>report/earnings_materials/FY2025_release.htm</t>
  </si>
  <si>
    <t>Q26</t>
  </si>
  <si>
    <t>https://www.sec.gov/Archives/edgar/data/1104657/000110465726000044/mtrn-20260703.htm</t>
  </si>
  <si>
    <t>report/company_filings/10-Q_2026-08-05_mtrn-20260703.htm</t>
  </si>
  <si>
    <t>E26</t>
  </si>
  <si>
    <t>https://www.sec.gov/Archives/edgar/data/1104657/000110465726000042/q22026pressrelease.htm</t>
  </si>
  <si>
    <t>report/earnings_materials/Q2_2026_release.htm</t>
  </si>
  <si>
    <t>DECK26</t>
  </si>
  <si>
    <t>https://s203.q4cdn.com/782025361/files/doc_financials/2026/q2/Materion-Corporation-Q2-2026-Earnings-Presentation.pdf</t>
  </si>
  <si>
    <t>report/earnings_materials/Q2_2026_presentation.pdf</t>
  </si>
  <si>
    <t>separately_reported_mine_development</t>
  </si>
  <si>
    <t>K21</t>
  </si>
  <si>
    <t>https://www.sec.gov/Archives/edgar/data/1104657/000110465722000021/mtrn-20211231.htm</t>
  </si>
  <si>
    <t>report/company_filings/10-K_2022-02-17_mtrn-20211231.htm</t>
  </si>
  <si>
    <t>Consolidated cash-flow statement; zero means no separately reported line</t>
  </si>
  <si>
    <t>K22</t>
  </si>
  <si>
    <t>https://www.sec.gov/Archives/edgar/data/1104657/000110465723000019/mtrn-20221231.htm</t>
  </si>
  <si>
    <t>report/company_filings/10-K_2023-02-16_mtrn-20221231.htm</t>
  </si>
  <si>
    <t>debt_principal</t>
  </si>
  <si>
    <t>latest / forecast</t>
  </si>
  <si>
    <t>Debt note</t>
  </si>
  <si>
    <t>finance_lease_total</t>
  </si>
  <si>
    <t>analyst estimate</t>
  </si>
  <si>
    <t>12.671 noncurrent plus estimated current amount from FY2025</t>
  </si>
  <si>
    <t>retirement_liability</t>
  </si>
  <si>
    <t>Balance sheet</t>
  </si>
  <si>
    <t>actual_common_shares_million</t>
  </si>
  <si>
    <t>Statement of shareholders equity</t>
  </si>
  <si>
    <t>prospective_diluted_shares_million</t>
  </si>
  <si>
    <t>analyst assumption</t>
  </si>
  <si>
    <t>Analyst assumption above Q2 weighted average 21.075</t>
  </si>
  <si>
    <t>FY2026_adjusted_EPS_midpoint_USD</t>
  </si>
  <si>
    <t>calculated</t>
  </si>
  <si>
    <t>Guidance range 6.80 to 7.20</t>
  </si>
  <si>
    <t>FY2026_total_capex_planning_anchor</t>
  </si>
  <si>
    <t>reported / planning interpretation</t>
  </si>
  <si>
    <t>75 equipment + 25 mine development; 10-Q wording discrepancy retained</t>
  </si>
  <si>
    <t>FY2026_VA_growth_anchor_percent</t>
  </si>
  <si>
    <t>analyst interpretation</t>
  </si>
  <si>
    <t>Mid-teens guidance interpreted as 15%</t>
  </si>
  <si>
    <t>0001101302-26-000012</t>
  </si>
  <si>
    <t>2026-02-11</t>
  </si>
  <si>
    <t>0001101302-26-000150</t>
  </si>
  <si>
    <t>2026-08-04</t>
  </si>
  <si>
    <t>StockholdersEquityIncludingPortionAttributableToNoncontrollingInterest</t>
  </si>
  <si>
    <t>Depreciation</t>
  </si>
  <si>
    <t>2025-07-01</t>
  </si>
  <si>
    <t>0000017843-26-000034</t>
  </si>
  <si>
    <t>2026-08-12</t>
  </si>
  <si>
    <t>CY2026</t>
  </si>
  <si>
    <t>PaymentsToAcquireProductiveAssets</t>
  </si>
  <si>
    <t>2024-12-30</t>
  </si>
  <si>
    <t>2025-12-28</t>
  </si>
  <si>
    <t>0001628280-26-010140</t>
  </si>
  <si>
    <t>2026-02-20</t>
  </si>
  <si>
    <t>2025-12-29</t>
  </si>
  <si>
    <t>0001628280-26-054233</t>
  </si>
  <si>
    <t>2026-08-06</t>
  </si>
  <si>
    <t>2025-06-29</t>
  </si>
  <si>
    <t>id</t>
  </si>
  <si>
    <t>category</t>
  </si>
  <si>
    <t>source</t>
  </si>
  <si>
    <t>title</t>
  </si>
  <si>
    <t>publisher</t>
  </si>
  <si>
    <t>pub_date</t>
  </si>
  <si>
    <t>retrieved</t>
  </si>
  <si>
    <t>url</t>
  </si>
  <si>
    <t>forecast_period</t>
  </si>
  <si>
    <t>key_data</t>
  </si>
  <si>
    <t>relevance</t>
  </si>
  <si>
    <t>source_type</t>
  </si>
  <si>
    <t>S001</t>
  </si>
  <si>
    <t>financial_data</t>
  </si>
  <si>
    <t>SEC EDGAR</t>
  </si>
  <si>
    <t>MTRN SEC company facts</t>
  </si>
  <si>
    <t>2026-09-19</t>
  </si>
  <si>
    <t>https://data.sec.gov/api/xbrl/companyfacts/CIK0001104657.json</t>
  </si>
  <si>
    <t>data/financial_data/companyfacts_MTRN.json</t>
  </si>
  <si>
    <t>primary</t>
  </si>
  <si>
    <t>S002</t>
  </si>
  <si>
    <t>ENTG SEC company facts</t>
  </si>
  <si>
    <t>https://data.sec.gov/api/xbrl/companyfacts/CIK0001101302.json</t>
  </si>
  <si>
    <t>data/financial_data/companyfacts_ENTG.json</t>
  </si>
  <si>
    <t>S003</t>
  </si>
  <si>
    <t>CRS SEC company facts</t>
  </si>
  <si>
    <t>https://data.sec.gov/api/xbrl/companyfacts/CIK0000017843.json</t>
  </si>
  <si>
    <t>data/financial_data/companyfacts_CRS.json</t>
  </si>
  <si>
    <t>S004</t>
  </si>
  <si>
    <t>ATI SEC company facts</t>
  </si>
  <si>
    <t>https://data.sec.gov/api/xbrl/companyfacts/CIK0001018963.json</t>
  </si>
  <si>
    <t>data/financial_data/companyfacts_ATI.json</t>
  </si>
  <si>
    <t>S005</t>
  </si>
  <si>
    <t>company_filings</t>
  </si>
  <si>
    <t>SEC EDGAR / Materion</t>
  </si>
  <si>
    <t>MTRN 10-Q filed 2026-08-05; period 2026-07-03</t>
  </si>
  <si>
    <t>S006</t>
  </si>
  <si>
    <t>MTRN 8-K filed 2026-08-05; period 2026-08-05</t>
  </si>
  <si>
    <t>https://www.sec.gov/Archives/edgar/data/1104657/000110465726000042/mtrn-20260805.htm</t>
  </si>
  <si>
    <t>report/company_filings/8-K_2026-08-05_mtrn-20260805.htm</t>
  </si>
  <si>
    <t>S007</t>
  </si>
  <si>
    <t>MTRN 8-K filed 2026-05-07; period 2026-05-07</t>
  </si>
  <si>
    <t>2026-05-07</t>
  </si>
  <si>
    <t>https://www.sec.gov/Archives/edgar/data/1104657/000110465726000031/mtrn-20260507.htm</t>
  </si>
  <si>
    <t>report/company_filings/8-K_2026-05-07_mtrn-20260507.htm</t>
  </si>
  <si>
    <t>S008</t>
  </si>
  <si>
    <t>MTRN 10-Q filed 2026-04-29; period 2026-04-03</t>
  </si>
  <si>
    <t>https://www.sec.gov/Archives/edgar/data/1104657/000110465726000029/mtrn-20260403.htm</t>
  </si>
  <si>
    <t>report/company_filings/10-Q_2026-04-29_mtrn-20260403.htm</t>
  </si>
  <si>
    <t>S009</t>
  </si>
  <si>
    <t>MTRN 8-K filed 2026-04-29; period 2026-04-29</t>
  </si>
  <si>
    <t>https://www.sec.gov/Archives/edgar/data/1104657/000110465726000026/mtrn-20260429.htm</t>
  </si>
  <si>
    <t>report/company_filings/8-K_2026-04-29_mtrn-20260429.htm</t>
  </si>
  <si>
    <t>S010</t>
  </si>
  <si>
    <t>MTRN DEF 14A filed 2026-03-26; period 2026-05-07</t>
  </si>
  <si>
    <t>2026-03-26</t>
  </si>
  <si>
    <t>https://www.sec.gov/Archives/edgar/data/1104657/000110465726000022/mtrn-20260326.htm</t>
  </si>
  <si>
    <t>report/company_filings/DEF14A_2026-03-26_mtrn-20260326.htm</t>
  </si>
  <si>
    <t>S011</t>
  </si>
  <si>
    <t>MTRN 10-K filed 2026-02-12; period 2025-12-31</t>
  </si>
  <si>
    <t>S012</t>
  </si>
  <si>
    <t>MTRN 8-K filed 2026-02-12; period 2026-02-12</t>
  </si>
  <si>
    <t>https://www.sec.gov/Archives/edgar/data/1104657/000110465726000006/mtrn-20260212.htm</t>
  </si>
  <si>
    <t>report/company_filings/8-K_2026-02-12_mtrn-20260212.htm</t>
  </si>
  <si>
    <t>S013</t>
  </si>
  <si>
    <t>market_data</t>
  </si>
  <si>
    <t>Yahoo Finance</t>
  </si>
  <si>
    <t>MTRN daily OHLCV and adjusted close, 1980-03-17 to 2026-09-18</t>
  </si>
  <si>
    <t>https://finance.yahoo.com/quote/MTRN/history</t>
  </si>
  <si>
    <t>data/market_data/MTRN_daily.csv</t>
  </si>
  <si>
    <t>secondary market data</t>
  </si>
  <si>
    <t>S014</t>
  </si>
  <si>
    <t>MTRN 8-K filed 2026-01-23; period 2026-01-23</t>
  </si>
  <si>
    <t>2026-01-23</t>
  </si>
  <si>
    <t>https://www.sec.gov/Archives/edgar/data/1104657/000110465726000002/mtrn-20260123.htm</t>
  </si>
  <si>
    <t>report/company_filings/8-K_2026-01-23_mtrn-20260123.htm</t>
  </si>
  <si>
    <t>S015</t>
  </si>
  <si>
    <t>MTRN 10-Q filed 2025-10-30; period 2025-09-26</t>
  </si>
  <si>
    <t>2025-10-30</t>
  </si>
  <si>
    <t>https://www.sec.gov/Archives/edgar/data/1104657/000110465725000191/mtrn-20250926.htm</t>
  </si>
  <si>
    <t>report/company_filings/10-Q_2025-10-30_mtrn-20250926.htm</t>
  </si>
  <si>
    <t>S016</t>
  </si>
  <si>
    <t>SPY daily OHLCV and adjusted close, 1993-01-29 to 2026-09-18</t>
  </si>
  <si>
    <t>https://finance.yahoo.com/quote/SPY/history</t>
  </si>
  <si>
    <t>data/market_data/SPY_daily.csv</t>
  </si>
  <si>
    <t>S017</t>
  </si>
  <si>
    <t>MTRN 10-Q filed 2025-07-30; period 2025-06-27</t>
  </si>
  <si>
    <t>https://www.sec.gov/Archives/edgar/data/1104657/000110465725000144/mtrn-20250627.htm</t>
  </si>
  <si>
    <t>report/company_filings/10-Q_2025-07-30_mtrn-20250627.htm</t>
  </si>
  <si>
    <t>S018</t>
  </si>
  <si>
    <t>MTRN 10-Q filed 2025-05-01; period 2025-03-28</t>
  </si>
  <si>
    <t>2025-05-01</t>
  </si>
  <si>
    <t>https://www.sec.gov/Archives/edgar/data/1104657/000110465725000059/mtrn-20250328.htm</t>
  </si>
  <si>
    <t>report/company_filings/10-Q_2025-05-01_mtrn-20250328.htm</t>
  </si>
  <si>
    <t>S019</t>
  </si>
  <si>
    <t>MTRN 10-K filed 2025-02-19; period 2024-12-31</t>
  </si>
  <si>
    <t>https://www.sec.gov/Archives/edgar/data/1104657/000110465725000024/mtrn-20241231.htm</t>
  </si>
  <si>
    <t>report/company_filings/10-K_2025-02-19_mtrn-20241231.htm</t>
  </si>
  <si>
    <t>S020</t>
  </si>
  <si>
    <t>IWM daily OHLCV and adjusted close, 2000-05-26 to 2026-09-18</t>
  </si>
  <si>
    <t>https://finance.yahoo.com/quote/IWM/history</t>
  </si>
  <si>
    <t>data/market_data/IWM_daily.csv</t>
  </si>
  <si>
    <t>S021</t>
  </si>
  <si>
    <t>MTRN 10-K filed 2024-02-15; period 2023-12-31</t>
  </si>
  <si>
    <t>S022</t>
  </si>
  <si>
    <t>MTRN 10-K filed 2023-02-16; period 2022-12-31</t>
  </si>
  <si>
    <t>S023</t>
  </si>
  <si>
    <t>XLB daily OHLCV and adjusted close, 1998-12-22 to 2026-09-18</t>
  </si>
  <si>
    <t>https://finance.yahoo.com/quote/XLB/history</t>
  </si>
  <si>
    <t>data/market_data/XLB_daily.csv</t>
  </si>
  <si>
    <t>S024</t>
  </si>
  <si>
    <t>MTRN 10-K filed 2022-02-17; period 2021-12-31</t>
  </si>
  <si>
    <t>2022-02-17</t>
  </si>
  <si>
    <t>S025</t>
  </si>
  <si>
    <t>ENTG daily OHLCV and adjusted close, 2000-07-11 to 2026-09-18</t>
  </si>
  <si>
    <t>https://finance.yahoo.com/quote/ENTG/history</t>
  </si>
  <si>
    <t>data/market_data/ENTG_daily.csv</t>
  </si>
  <si>
    <t>S026</t>
  </si>
  <si>
    <t>CRS daily OHLCV and adjusted close, 1973-02-21 to 2026-09-18</t>
  </si>
  <si>
    <t>https://finance.yahoo.com/quote/CRS/history</t>
  </si>
  <si>
    <t>data/market_data/CRS_daily.csv</t>
  </si>
  <si>
    <t>S027</t>
  </si>
  <si>
    <t>ATI daily OHLCV and adjusted close, 1999-11-29 to 2026-09-18</t>
  </si>
  <si>
    <t>https://finance.yahoo.com/quote/ATI/history</t>
  </si>
  <si>
    <t>data/market_data/ATI_daily.csv</t>
  </si>
  <si>
    <t>S028</t>
  </si>
  <si>
    <t>VNP.TO daily OHLCV and adjusted close, 2007-12-20 to 2026-09-18</t>
  </si>
  <si>
    <t>https://finance.yahoo.com/quote/VNP.TO/history</t>
  </si>
  <si>
    <t>data/market_data/VNP.TO_daily.csv</t>
  </si>
  <si>
    <t>S029</t>
  </si>
  <si>
    <t>CAD=X daily OHLCV and adjusted close, 2003-09-16 to 2026-09-17</t>
  </si>
  <si>
    <t>https://finance.yahoo.com/quote/CAD=X/history</t>
  </si>
  <si>
    <t>data/market_data/CAD=X_daily.csv</t>
  </si>
  <si>
    <t>S030</t>
  </si>
  <si>
    <t>^TNX daily OHLCV and adjusted close, 1972-01-03 to 2026-09-18</t>
  </si>
  <si>
    <t>https://finance.yahoo.com/quote/^TNX/history</t>
  </si>
  <si>
    <t>data/market_data/TNX_daily.csv</t>
  </si>
  <si>
    <t>S031</t>
  </si>
  <si>
    <t>^IRX daily OHLCV and adjusted close, 1972-01-03 to 2026-09-18</t>
  </si>
  <si>
    <t>https://finance.yahoo.com/quote/^IRX/history</t>
  </si>
  <si>
    <t>data/market_data/IRX_daily.csv</t>
  </si>
  <si>
    <t>S032</t>
  </si>
  <si>
    <t>earnings_materials</t>
  </si>
  <si>
    <t>Materion</t>
  </si>
  <si>
    <t>FY2025 results</t>
  </si>
  <si>
    <t>S033</t>
  </si>
  <si>
    <t>Q1 2026 results</t>
  </si>
  <si>
    <t>https://www.sec.gov/Archives/edgar/data/1104657/000110465726000026/q12026pressrelease.htm</t>
  </si>
  <si>
    <t>report/earnings_materials/Q1_2026_release.htm</t>
  </si>
  <si>
    <t>S034</t>
  </si>
  <si>
    <t>Q2 2026 results</t>
  </si>
  <si>
    <t>S035</t>
  </si>
  <si>
    <t>Q4 2025 investor presentation</t>
  </si>
  <si>
    <t>https://s203.q4cdn.com/782025361/files/doc_financials/2025/q4/Materion-Corporation-Q4-2025-Earnings-Presentation.pdf</t>
  </si>
  <si>
    <t>report/earnings_materials/Q4_2025_presentation.pdf</t>
  </si>
  <si>
    <t>S036</t>
  </si>
  <si>
    <t>Q1 2026 investor presentation</t>
  </si>
  <si>
    <t>https://s203.q4cdn.com/782025361/files/doc_financials/2026/q1/Materion-Corporation-Q1-2026-Earnings-Presentation.pdf</t>
  </si>
  <si>
    <t>report/earnings_materials/Q1_2026_presentation.pdf</t>
  </si>
  <si>
    <t>S037</t>
  </si>
  <si>
    <t>Q2 2026 investor presentation</t>
  </si>
  <si>
    <t>S038</t>
  </si>
  <si>
    <t>May 2026 investor presentation</t>
  </si>
  <si>
    <t>2026-05</t>
  </si>
  <si>
    <t>https://s203.q4cdn.com/782025361/files/doc_presentation/2026/Materion-Corporation-May-2026.pdf</t>
  </si>
  <si>
    <t>report/earnings_materials/May_2026_investor.pdf</t>
  </si>
  <si>
    <t>S039</t>
  </si>
  <si>
    <t>industry_research</t>
  </si>
  <si>
    <t>USGS</t>
  </si>
  <si>
    <t>Mineral Commodity Summaries 2026</t>
  </si>
  <si>
    <t>2026-02-06</t>
  </si>
  <si>
    <t>https://pubs.usgs.gov/periodicals/mcs2026/mcs2026.pdf</t>
  </si>
  <si>
    <t>report/industry_research/USGS_mcs2026.pdf</t>
  </si>
  <si>
    <t>S040</t>
  </si>
  <si>
    <t>SIA</t>
  </si>
  <si>
    <t>July 2026 global semiconductor sales</t>
  </si>
  <si>
    <t>2026-09-04</t>
  </si>
  <si>
    <t>https://www.semiconductors.org/global-semiconductor-sales-increase-6-4-month-to-month-in-july/</t>
  </si>
  <si>
    <t>report/industry_research/SIA_July_2026.html</t>
  </si>
  <si>
    <t>S041</t>
  </si>
  <si>
    <t>Beryllium fluoride supply agreement with Commonwealth Fusion Systems</t>
  </si>
  <si>
    <t>https://www.materion.com/en/about-materion/news/performance-alloys/materion-supply-agreement-with-commonwealth-fusion</t>
  </si>
  <si>
    <t>report/industry_research/Materion_CFS_agreement.html</t>
  </si>
  <si>
    <t>S042</t>
  </si>
  <si>
    <t>macro_research</t>
  </si>
  <si>
    <t>Federal Reserve</t>
  </si>
  <si>
    <t>September 2026 FOMC statement</t>
  </si>
  <si>
    <t>https://www.federalreserve.gov/newsevents/pressreleases/monetary20260916a.htm</t>
  </si>
  <si>
    <t>report/macro_research/FOMC_20260916.html</t>
  </si>
  <si>
    <t>S043</t>
  </si>
  <si>
    <t>options_data</t>
  </si>
  <si>
    <t>Cboe</t>
  </si>
  <si>
    <t>Cboe delayed MTRN option chain</t>
  </si>
  <si>
    <t>https://cdn.cboe.com/api/global/delayed_quotes/options/MTRN.json</t>
  </si>
  <si>
    <t>data/options_data/cboe_raw.json</t>
  </si>
  <si>
    <t>S044</t>
  </si>
  <si>
    <t>competitor_research</t>
  </si>
  <si>
    <t>Entegris</t>
  </si>
  <si>
    <t>Entegris Q2 2026 results</t>
  </si>
  <si>
    <t>https://www.sec.gov/Archives/edgar/data/1101302/000110130226000146/entgq22026ex991.htm</t>
  </si>
  <si>
    <t>report/competitor_research/ENTG_Q2_2026.htm</t>
  </si>
  <si>
    <t>S045</t>
  </si>
  <si>
    <t>Entegris Q2 2026 presentation</t>
  </si>
  <si>
    <t>https://www.sec.gov/Archives/edgar/data/1101302/000110130226000146/entgq22026ex992.htm</t>
  </si>
  <si>
    <t>report/competitor_research/ENTG_Q2_2026_presentation.htm</t>
  </si>
  <si>
    <t>S046</t>
  </si>
  <si>
    <t>Carpenter Technology</t>
  </si>
  <si>
    <t>Carpenter FY2026 results</t>
  </si>
  <si>
    <t>https://www.sec.gov/Archives/edgar/data/17843/000001784326000030/a4thqtr2026resultspressrel.htm</t>
  </si>
  <si>
    <t>report/competitor_research/CRS_FY2026.htm</t>
  </si>
  <si>
    <t>S047</t>
  </si>
  <si>
    <t>5N Plus</t>
  </si>
  <si>
    <t>5N Plus Q2 2026 results</t>
  </si>
  <si>
    <t>2026-08-03</t>
  </si>
  <si>
    <t>https://www.5nplus.com/en/news/5n-plus-inc-reports-second-quarter-2026-financial/</t>
  </si>
  <si>
    <t>report/competitor_research/VNP_Q2_2026.html</t>
  </si>
  <si>
    <t>S048</t>
  </si>
  <si>
    <t>other_evidence</t>
  </si>
  <si>
    <t>Stock Analysis</t>
  </si>
  <si>
    <t>MTRN price cross-check</t>
  </si>
  <si>
    <t>https://stockanalysis.com/stocks/mtrn/history/</t>
  </si>
  <si>
    <t>report/other_evidence/stockanalysis_history.html</t>
  </si>
  <si>
    <t>secondary aggregator</t>
  </si>
  <si>
    <t>S049</t>
  </si>
  <si>
    <t>options_research</t>
  </si>
  <si>
    <t>ChartExchange</t>
  </si>
  <si>
    <t>MTRN listed options snapshot</t>
  </si>
  <si>
    <t>https://chartexchange.com/symbol/nyse-mtrn/optionchain/</t>
  </si>
  <si>
    <t>report/options_research/chartexchange_options.html</t>
  </si>
  <si>
    <t>S050</t>
  </si>
  <si>
    <t>MarketBeat</t>
  </si>
  <si>
    <t>MTRN options data</t>
  </si>
  <si>
    <t>https://www.marketbeat.com/stocks/NYSE/MTRN/options/</t>
  </si>
  <si>
    <t>report/options_research/marketbeat_options.html</t>
  </si>
  <si>
    <t>S051</t>
  </si>
  <si>
    <t>Delayed option quotes</t>
  </si>
  <si>
    <t>https://www.cboe.com/delayed_quotes/mtrn/quote_table</t>
  </si>
  <si>
    <t>report/options_research/cboe_methodology.html</t>
  </si>
  <si>
    <t>S052</t>
  </si>
  <si>
    <t>2023 investor presentation, recast financial history</t>
  </si>
  <si>
    <t>S053</t>
  </si>
  <si>
    <t>Q4 2023 earnings presentation</t>
  </si>
  <si>
    <t>S054</t>
  </si>
  <si>
    <t>BLS</t>
  </si>
  <si>
    <t>August 2026 CPI</t>
  </si>
  <si>
    <t>2026-09-11</t>
  </si>
  <si>
    <t>https://www.bls.gov/news.release/archives/cpi_09112026.htm</t>
  </si>
  <si>
    <t>report/macro_research/BLS_Treasury_web_extract.txt</t>
  </si>
  <si>
    <t>Official-source web extract; see archived text</t>
  </si>
  <si>
    <t>Macro input or verified event date</t>
  </si>
  <si>
    <t>primary web extract</t>
  </si>
  <si>
    <t>S055</t>
  </si>
  <si>
    <t>US Treasury</t>
  </si>
  <si>
    <t>Daily Treasury yields, September 18, 2026</t>
  </si>
  <si>
    <t>https://home.treasury.gov/resource-center/data-chart-center/interest-rates/TextView?type=daily_treasury_yield_curve&amp;field_tdr_date_value=2026</t>
  </si>
  <si>
    <t>S056</t>
  </si>
  <si>
    <t>Q3 2022 results</t>
  </si>
  <si>
    <t>https://investor.materion.com/news/news-details/2022/Materion-Corporation-Reports-Record-Third-Quarter-Results-and-Updates-Full-Year-2022-Outlook/default.aspx</t>
  </si>
  <si>
    <t>report/other_evidence/event_and_historical_research_web.txt</t>
  </si>
  <si>
    <t>S057</t>
  </si>
  <si>
    <t>Materion / SEC</t>
  </si>
  <si>
    <t>FY2022 earnings 8-K</t>
  </si>
  <si>
    <t>https://www.sec.gov/Archives/edgar/data/1104657/000110465723000015/mtrn-20230216.htm</t>
  </si>
  <si>
    <t>S058</t>
  </si>
  <si>
    <t>Q3 2025 earnings event calendar</t>
  </si>
  <si>
    <t>https://investor.materion.com/events-and-presentations/event-details/2025/Materion-Corporation-Third-Quarter-2025/default.aspx</t>
  </si>
</sst>
</file>

<file path=xl/styles.xml><?xml version="1.0" encoding="utf-8"?>
<styleSheet xmlns="http://schemas.openxmlformats.org/spreadsheetml/2006/main">
  <numFmts count="5">
    <numFmt numFmtId="164" formatCode="#,##0.0;[Red](#,##0.0)"/>
    <numFmt numFmtId="165" formatCode="0.0%"/>
    <numFmt numFmtId="166" formatCode="#,##0.0"/>
    <numFmt numFmtId="167" formatCode="0.000"/>
    <numFmt numFmtId="168" formatCode="$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8"/>
      <color rgb="FF142B45"/>
      <name val="Calibri"/>
      <family val="2"/>
      <scheme val="minor"/>
    </font>
    <font>
      <sz val="11"/>
      <color rgb="FF1769AA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2B45"/>
        <bgColor indexed="64"/>
      </patternFill>
    </fill>
    <fill>
      <patternFill patternType="solid">
        <fgColor rgb="FFEFF7F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4" fillId="3" borderId="0" xfId="0" applyNumberFormat="1" applyFont="1" applyFill="1"/>
    <xf numFmtId="165" fontId="4" fillId="3" borderId="0" xfId="0" applyNumberFormat="1" applyFont="1" applyFill="1"/>
    <xf numFmtId="167" fontId="4" fillId="3" borderId="0" xfId="0" applyNumberFormat="1" applyFont="1" applyFill="1"/>
    <xf numFmtId="168" fontId="0" fillId="0" borderId="0" xfId="0" applyNumberForma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104657/000110465724000019/mtrn-20231231.htm" TargetMode="External"/><Relationship Id="rId2" Type="http://schemas.openxmlformats.org/officeDocument/2006/relationships/hyperlink" Target="https://www.sec.gov/Archives/edgar/data/1104657/000110465723000047/materioncorporationinves.htm" TargetMode="External"/><Relationship Id="rId3" Type="http://schemas.openxmlformats.org/officeDocument/2006/relationships/hyperlink" Target="https://www.sec.gov/Archives/edgar/data/1104657/000110465724000019/mtrn-20231231.htm" TargetMode="External"/><Relationship Id="rId4" Type="http://schemas.openxmlformats.org/officeDocument/2006/relationships/hyperlink" Target="https://www.sec.gov/Archives/edgar/data/1104657/000110465723000047/materioncorporationinves.htm" TargetMode="External"/><Relationship Id="rId5" Type="http://schemas.openxmlformats.org/officeDocument/2006/relationships/hyperlink" Target="https://www.sec.gov/Archives/edgar/data/1104657/000110465724000019/mtrn-20231231.htm" TargetMode="External"/><Relationship Id="rId6" Type="http://schemas.openxmlformats.org/officeDocument/2006/relationships/hyperlink" Target="https://s203.q4cdn.com/782025361/files/doc_presentations/2024/02/1/Materion-Corporation-Q4-2023-Earnings-Presentation.pdf" TargetMode="External"/><Relationship Id="rId7" Type="http://schemas.openxmlformats.org/officeDocument/2006/relationships/hyperlink" Target="https://www.sec.gov/Archives/edgar/data/1104657/000110465726000011/mtrn-20251231.htm" TargetMode="External"/><Relationship Id="rId8" Type="http://schemas.openxmlformats.org/officeDocument/2006/relationships/hyperlink" Target="https://www.sec.gov/Archives/edgar/data/1104657/000110465726000006/q42025pressrelease.htm" TargetMode="External"/><Relationship Id="rId9" Type="http://schemas.openxmlformats.org/officeDocument/2006/relationships/hyperlink" Target="https://www.sec.gov/Archives/edgar/data/1104657/000110465726000011/mtrn-20251231.htm" TargetMode="External"/><Relationship Id="rId10" Type="http://schemas.openxmlformats.org/officeDocument/2006/relationships/hyperlink" Target="https://www.sec.gov/Archives/edgar/data/1104657/000110465726000006/q42025pressrelease.htm" TargetMode="External"/><Relationship Id="rId11" Type="http://schemas.openxmlformats.org/officeDocument/2006/relationships/hyperlink" Target="https://www.sec.gov/Archives/edgar/data/1104657/000110465726000044/mtrn-20260703.htm" TargetMode="External"/><Relationship Id="rId12" Type="http://schemas.openxmlformats.org/officeDocument/2006/relationships/hyperlink" Target="https://www.sec.gov/Archives/edgar/data/1104657/000110465726000042/q22026pressrelease.htm" TargetMode="External"/><Relationship Id="rId13" Type="http://schemas.openxmlformats.org/officeDocument/2006/relationships/hyperlink" Target="https://www.sec.gov/Archives/edgar/data/1104657/000110465726000044/mtrn-20260703.htm" TargetMode="External"/><Relationship Id="rId14" Type="http://schemas.openxmlformats.org/officeDocument/2006/relationships/hyperlink" Target="https://www.sec.gov/Archives/edgar/data/1104657/000110465726000042/q22026pressrelease.htm" TargetMode="External"/><Relationship Id="rId15" Type="http://schemas.openxmlformats.org/officeDocument/2006/relationships/hyperlink" Target="https://s203.q4cdn.com/782025361/files/doc_financials/2026/q2/Materion-Corporation-Q2-2026-Earnings-Presentation.pdf" TargetMode="External"/><Relationship Id="rId16" Type="http://schemas.openxmlformats.org/officeDocument/2006/relationships/hyperlink" Target="https://www.sec.gov/Archives/edgar/data/1104657/000110465722000021/mtrn-20211231.htm" TargetMode="External"/><Relationship Id="rId17" Type="http://schemas.openxmlformats.org/officeDocument/2006/relationships/hyperlink" Target="https://www.sec.gov/Archives/edgar/data/1104657/000110465723000019/mtrn-20221231.htm" TargetMode="External"/><Relationship Id="rId18" Type="http://schemas.openxmlformats.org/officeDocument/2006/relationships/hyperlink" Target="https://www.sec.gov/Archives/edgar/data/1104657/000110465726000011/mtrn-20251231.htm" TargetMode="External"/><Relationship Id="rId19" Type="http://schemas.openxmlformats.org/officeDocument/2006/relationships/hyperlink" Target="https://www.sec.gov/Archives/edgar/data/1104657/000110465726000011/mtrn-20251231.htm" TargetMode="External"/><Relationship Id="rId20" Type="http://schemas.openxmlformats.org/officeDocument/2006/relationships/hyperlink" Target="https://www.sec.gov/Archives/edgar/data/1104657/000110465726000011/mtrn-20251231.htm" TargetMode="External"/><Relationship Id="rId21" Type="http://schemas.openxmlformats.org/officeDocument/2006/relationships/hyperlink" Target="https://www.sec.gov/Archives/edgar/data/1104657/000110465726000044/mtrn-20260703.htm" TargetMode="External"/><Relationship Id="rId22" Type="http://schemas.openxmlformats.org/officeDocument/2006/relationships/hyperlink" Target="https://www.sec.gov/Archives/edgar/data/1104657/000110465726000044/mtrn-20260703.htm" TargetMode="External"/><Relationship Id="rId23" Type="http://schemas.openxmlformats.org/officeDocument/2006/relationships/hyperlink" Target="https://www.sec.gov/Archives/edgar/data/1104657/000110465726000044/mtrn-20260703.htm" TargetMode="External"/><Relationship Id="rId24" Type="http://schemas.openxmlformats.org/officeDocument/2006/relationships/hyperlink" Target="https://www.sec.gov/Archives/edgar/data/1104657/000110465726000044/mtrn-20260703.htm" TargetMode="External"/><Relationship Id="rId25" Type="http://schemas.openxmlformats.org/officeDocument/2006/relationships/hyperlink" Target="https://www.sec.gov/Archives/edgar/data/1104657/000110465726000044/mtrn-20260703.htm" TargetMode="External"/><Relationship Id="rId26" Type="http://schemas.openxmlformats.org/officeDocument/2006/relationships/hyperlink" Target="https://www.sec.gov/Archives/edgar/data/1104657/000110465726000042/q22026pressrelease.htm" TargetMode="External"/><Relationship Id="rId27" Type="http://schemas.openxmlformats.org/officeDocument/2006/relationships/hyperlink" Target="https://s203.q4cdn.com/782025361/files/doc_financials/2026/q2/Materion-Corporation-Q2-2026-Earnings-Presentation.pdf" TargetMode="External"/><Relationship Id="rId28" Type="http://schemas.openxmlformats.org/officeDocument/2006/relationships/hyperlink" Target="https://www.sec.gov/Archives/edgar/data/1104657/000110465726000042/q22026pressrelease.htm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sec.gov/api/xbrl/companyfacts/CIK0001104657.json" TargetMode="External"/><Relationship Id="rId2" Type="http://schemas.openxmlformats.org/officeDocument/2006/relationships/hyperlink" Target="https://data.sec.gov/api/xbrl/companyfacts/CIK0001101302.json" TargetMode="External"/><Relationship Id="rId3" Type="http://schemas.openxmlformats.org/officeDocument/2006/relationships/hyperlink" Target="https://data.sec.gov/api/xbrl/companyfacts/CIK0000017843.json" TargetMode="External"/><Relationship Id="rId4" Type="http://schemas.openxmlformats.org/officeDocument/2006/relationships/hyperlink" Target="https://data.sec.gov/api/xbrl/companyfacts/CIK0001018963.json" TargetMode="External"/><Relationship Id="rId5" Type="http://schemas.openxmlformats.org/officeDocument/2006/relationships/hyperlink" Target="https://www.sec.gov/Archives/edgar/data/1104657/000110465726000044/mtrn-20260703.htm" TargetMode="External"/><Relationship Id="rId6" Type="http://schemas.openxmlformats.org/officeDocument/2006/relationships/hyperlink" Target="https://www.sec.gov/Archives/edgar/data/1104657/000110465726000042/mtrn-20260805.htm" TargetMode="External"/><Relationship Id="rId7" Type="http://schemas.openxmlformats.org/officeDocument/2006/relationships/hyperlink" Target="https://www.sec.gov/Archives/edgar/data/1104657/000110465726000031/mtrn-20260507.htm" TargetMode="External"/><Relationship Id="rId8" Type="http://schemas.openxmlformats.org/officeDocument/2006/relationships/hyperlink" Target="https://www.sec.gov/Archives/edgar/data/1104657/000110465726000029/mtrn-20260403.htm" TargetMode="External"/><Relationship Id="rId9" Type="http://schemas.openxmlformats.org/officeDocument/2006/relationships/hyperlink" Target="https://www.sec.gov/Archives/edgar/data/1104657/000110465726000026/mtrn-20260429.htm" TargetMode="External"/><Relationship Id="rId10" Type="http://schemas.openxmlformats.org/officeDocument/2006/relationships/hyperlink" Target="https://www.sec.gov/Archives/edgar/data/1104657/000110465726000022/mtrn-20260326.htm" TargetMode="External"/><Relationship Id="rId11" Type="http://schemas.openxmlformats.org/officeDocument/2006/relationships/hyperlink" Target="https://www.sec.gov/Archives/edgar/data/1104657/000110465726000011/mtrn-20251231.htm" TargetMode="External"/><Relationship Id="rId12" Type="http://schemas.openxmlformats.org/officeDocument/2006/relationships/hyperlink" Target="https://www.sec.gov/Archives/edgar/data/1104657/000110465726000006/mtrn-20260212.htm" TargetMode="External"/><Relationship Id="rId13" Type="http://schemas.openxmlformats.org/officeDocument/2006/relationships/hyperlink" Target="https://finance.yahoo.com/quote/MTRN/history" TargetMode="External"/><Relationship Id="rId14" Type="http://schemas.openxmlformats.org/officeDocument/2006/relationships/hyperlink" Target="https://www.sec.gov/Archives/edgar/data/1104657/000110465726000002/mtrn-20260123.htm" TargetMode="External"/><Relationship Id="rId15" Type="http://schemas.openxmlformats.org/officeDocument/2006/relationships/hyperlink" Target="https://www.sec.gov/Archives/edgar/data/1104657/000110465725000191/mtrn-20250926.htm" TargetMode="External"/><Relationship Id="rId16" Type="http://schemas.openxmlformats.org/officeDocument/2006/relationships/hyperlink" Target="https://finance.yahoo.com/quote/SPY/history" TargetMode="External"/><Relationship Id="rId17" Type="http://schemas.openxmlformats.org/officeDocument/2006/relationships/hyperlink" Target="https://www.sec.gov/Archives/edgar/data/1104657/000110465725000144/mtrn-20250627.htm" TargetMode="External"/><Relationship Id="rId18" Type="http://schemas.openxmlformats.org/officeDocument/2006/relationships/hyperlink" Target="https://www.sec.gov/Archives/edgar/data/1104657/000110465725000059/mtrn-20250328.htm" TargetMode="External"/><Relationship Id="rId19" Type="http://schemas.openxmlformats.org/officeDocument/2006/relationships/hyperlink" Target="https://www.sec.gov/Archives/edgar/data/1104657/000110465725000024/mtrn-20241231.htm" TargetMode="External"/><Relationship Id="rId20" Type="http://schemas.openxmlformats.org/officeDocument/2006/relationships/hyperlink" Target="https://finance.yahoo.com/quote/IWM/history" TargetMode="External"/><Relationship Id="rId21" Type="http://schemas.openxmlformats.org/officeDocument/2006/relationships/hyperlink" Target="https://www.sec.gov/Archives/edgar/data/1104657/000110465724000019/mtrn-20231231.htm" TargetMode="External"/><Relationship Id="rId22" Type="http://schemas.openxmlformats.org/officeDocument/2006/relationships/hyperlink" Target="https://www.sec.gov/Archives/edgar/data/1104657/000110465723000019/mtrn-20221231.htm" TargetMode="External"/><Relationship Id="rId23" Type="http://schemas.openxmlformats.org/officeDocument/2006/relationships/hyperlink" Target="https://finance.yahoo.com/quote/XLB/history" TargetMode="External"/><Relationship Id="rId24" Type="http://schemas.openxmlformats.org/officeDocument/2006/relationships/hyperlink" Target="https://www.sec.gov/Archives/edgar/data/1104657/000110465722000021/mtrn-20211231.htm" TargetMode="External"/><Relationship Id="rId25" Type="http://schemas.openxmlformats.org/officeDocument/2006/relationships/hyperlink" Target="https://finance.yahoo.com/quote/ENTG/history" TargetMode="External"/><Relationship Id="rId26" Type="http://schemas.openxmlformats.org/officeDocument/2006/relationships/hyperlink" Target="https://finance.yahoo.com/quote/CRS/history" TargetMode="External"/><Relationship Id="rId27" Type="http://schemas.openxmlformats.org/officeDocument/2006/relationships/hyperlink" Target="https://finance.yahoo.com/quote/ATI/history" TargetMode="External"/><Relationship Id="rId28" Type="http://schemas.openxmlformats.org/officeDocument/2006/relationships/hyperlink" Target="https://finance.yahoo.com/quote/VNP.TO/history" TargetMode="External"/><Relationship Id="rId29" Type="http://schemas.openxmlformats.org/officeDocument/2006/relationships/hyperlink" Target="https://finance.yahoo.com/quote/CAD=X/history" TargetMode="External"/><Relationship Id="rId30" Type="http://schemas.openxmlformats.org/officeDocument/2006/relationships/hyperlink" Target="https://finance.yahoo.com/quote/%5eTNX/history" TargetMode="External"/><Relationship Id="rId31" Type="http://schemas.openxmlformats.org/officeDocument/2006/relationships/hyperlink" Target="https://finance.yahoo.com/quote/%5eIRX/history" TargetMode="External"/><Relationship Id="rId32" Type="http://schemas.openxmlformats.org/officeDocument/2006/relationships/hyperlink" Target="https://www.sec.gov/Archives/edgar/data/1104657/000110465726000006/q42025pressrelease.htm" TargetMode="External"/><Relationship Id="rId33" Type="http://schemas.openxmlformats.org/officeDocument/2006/relationships/hyperlink" Target="https://www.sec.gov/Archives/edgar/data/1104657/000110465726000026/q12026pressrelease.htm" TargetMode="External"/><Relationship Id="rId34" Type="http://schemas.openxmlformats.org/officeDocument/2006/relationships/hyperlink" Target="https://www.sec.gov/Archives/edgar/data/1104657/000110465726000042/q22026pressrelease.htm" TargetMode="External"/><Relationship Id="rId35" Type="http://schemas.openxmlformats.org/officeDocument/2006/relationships/hyperlink" Target="https://s203.q4cdn.com/782025361/files/doc_financials/2025/q4/Materion-Corporation-Q4-2025-Earnings-Presentation.pdf" TargetMode="External"/><Relationship Id="rId36" Type="http://schemas.openxmlformats.org/officeDocument/2006/relationships/hyperlink" Target="https://s203.q4cdn.com/782025361/files/doc_financials/2026/q1/Materion-Corporation-Q1-2026-Earnings-Presentation.pdf" TargetMode="External"/><Relationship Id="rId37" Type="http://schemas.openxmlformats.org/officeDocument/2006/relationships/hyperlink" Target="https://s203.q4cdn.com/782025361/files/doc_financials/2026/q2/Materion-Corporation-Q2-2026-Earnings-Presentation.pdf" TargetMode="External"/><Relationship Id="rId38" Type="http://schemas.openxmlformats.org/officeDocument/2006/relationships/hyperlink" Target="https://s203.q4cdn.com/782025361/files/doc_presentation/2026/Materion-Corporation-May-2026.pdf" TargetMode="External"/><Relationship Id="rId39" Type="http://schemas.openxmlformats.org/officeDocument/2006/relationships/hyperlink" Target="https://pubs.usgs.gov/periodicals/mcs2026/mcs2026.pdf" TargetMode="External"/><Relationship Id="rId40" Type="http://schemas.openxmlformats.org/officeDocument/2006/relationships/hyperlink" Target="https://www.semiconductors.org/global-semiconductor-sales-increase-6-4-month-to-month-in-july/" TargetMode="External"/><Relationship Id="rId41" Type="http://schemas.openxmlformats.org/officeDocument/2006/relationships/hyperlink" Target="https://www.materion.com/en/about-materion/news/performance-alloys/materion-supply-agreement-with-commonwealth-fusion" TargetMode="External"/><Relationship Id="rId42" Type="http://schemas.openxmlformats.org/officeDocument/2006/relationships/hyperlink" Target="https://www.federalreserve.gov/newsevents/pressreleases/monetary20260916a.htm" TargetMode="External"/><Relationship Id="rId43" Type="http://schemas.openxmlformats.org/officeDocument/2006/relationships/hyperlink" Target="https://cdn.cboe.com/api/global/delayed_quotes/options/MTRN.json" TargetMode="External"/><Relationship Id="rId44" Type="http://schemas.openxmlformats.org/officeDocument/2006/relationships/hyperlink" Target="https://www.sec.gov/Archives/edgar/data/1101302/000110130226000146/entgq22026ex991.htm" TargetMode="External"/><Relationship Id="rId45" Type="http://schemas.openxmlformats.org/officeDocument/2006/relationships/hyperlink" Target="https://www.sec.gov/Archives/edgar/data/1101302/000110130226000146/entgq22026ex992.htm" TargetMode="External"/><Relationship Id="rId46" Type="http://schemas.openxmlformats.org/officeDocument/2006/relationships/hyperlink" Target="https://www.sec.gov/Archives/edgar/data/17843/000001784326000030/a4thqtr2026resultspressrel.htm" TargetMode="External"/><Relationship Id="rId47" Type="http://schemas.openxmlformats.org/officeDocument/2006/relationships/hyperlink" Target="https://www.5nplus.com/en/news/5n-plus-inc-reports-second-quarter-2026-financial/" TargetMode="External"/><Relationship Id="rId48" Type="http://schemas.openxmlformats.org/officeDocument/2006/relationships/hyperlink" Target="https://stockanalysis.com/stocks/mtrn/history/" TargetMode="External"/><Relationship Id="rId49" Type="http://schemas.openxmlformats.org/officeDocument/2006/relationships/hyperlink" Target="https://chartexchange.com/symbol/nyse-mtrn/optionchain/" TargetMode="External"/><Relationship Id="rId50" Type="http://schemas.openxmlformats.org/officeDocument/2006/relationships/hyperlink" Target="https://www.marketbeat.com/stocks/NYSE/MTRN/options/" TargetMode="External"/><Relationship Id="rId51" Type="http://schemas.openxmlformats.org/officeDocument/2006/relationships/hyperlink" Target="https://www.cboe.com/delayed_quotes/mtrn/quote_table" TargetMode="External"/><Relationship Id="rId52" Type="http://schemas.openxmlformats.org/officeDocument/2006/relationships/hyperlink" Target="https://www.sec.gov/Archives/edgar/data/1104657/000110465723000047/materioncorporationinves.htm" TargetMode="External"/><Relationship Id="rId53" Type="http://schemas.openxmlformats.org/officeDocument/2006/relationships/hyperlink" Target="https://s203.q4cdn.com/782025361/files/doc_presentations/2024/02/1/Materion-Corporation-Q4-2023-Earnings-Presentation.pdf" TargetMode="External"/><Relationship Id="rId54" Type="http://schemas.openxmlformats.org/officeDocument/2006/relationships/hyperlink" Target="https://www.bls.gov/news.release/archives/cpi_09112026.htm" TargetMode="External"/><Relationship Id="rId55" Type="http://schemas.openxmlformats.org/officeDocument/2006/relationships/hyperlink" Target="https://home.treasury.gov/resource-center/data-chart-center/interest-rates/TextView?type=daily_treasury_yield_curve&amp;field_tdr_date_value=2026" TargetMode="External"/><Relationship Id="rId56" Type="http://schemas.openxmlformats.org/officeDocument/2006/relationships/hyperlink" Target="https://investor.materion.com/news/news-details/2022/Materion-Corporation-Reports-Record-Third-Quarter-Results-and-Updates-Full-Year-2022-Outlook/default.aspx" TargetMode="External"/><Relationship Id="rId57" Type="http://schemas.openxmlformats.org/officeDocument/2006/relationships/hyperlink" Target="https://www.sec.gov/Archives/edgar/data/1104657/000110465723000015/mtrn-20230216.htm" TargetMode="External"/><Relationship Id="rId58" Type="http://schemas.openxmlformats.org/officeDocument/2006/relationships/hyperlink" Target="https://investor.materion.com/events-and-presentations/event-details/2025/Materion-Corporation-Third-Quarter-2025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 spans="1:2" ht="42" customHeight="1">
      <c r="A1" s="1" t="s">
        <v>0</v>
      </c>
      <c r="B1" s="2" t="s">
        <v>1</v>
      </c>
    </row>
    <row r="2" spans="1:2" ht="42" customHeight="1">
      <c r="A2" s="1" t="s">
        <v>2</v>
      </c>
      <c r="B2" s="2" t="s">
        <v>3</v>
      </c>
    </row>
    <row r="3" spans="1:2" ht="42" customHeight="1">
      <c r="A3" s="1" t="s">
        <v>4</v>
      </c>
      <c r="B3" s="2" t="s">
        <v>5</v>
      </c>
    </row>
    <row r="4" spans="1:2" ht="42" customHeight="1">
      <c r="A4" s="1" t="s">
        <v>6</v>
      </c>
      <c r="B4" s="2" t="s">
        <v>7</v>
      </c>
    </row>
    <row r="5" spans="1:2" ht="42" customHeight="1">
      <c r="A5" s="1" t="s">
        <v>8</v>
      </c>
      <c r="B5" s="2" t="s">
        <v>9</v>
      </c>
    </row>
    <row r="6" spans="1:2" ht="42" customHeight="1">
      <c r="A6" s="1" t="s">
        <v>10</v>
      </c>
      <c r="B6" s="2" t="s">
        <v>11</v>
      </c>
    </row>
    <row r="7" spans="1:2" ht="42" customHeight="1">
      <c r="A7" s="1" t="s">
        <v>12</v>
      </c>
      <c r="B7" s="2" t="s">
        <v>13</v>
      </c>
    </row>
    <row r="8" spans="1:2" ht="42" customHeight="1">
      <c r="A8" s="1" t="s">
        <v>14</v>
      </c>
      <c r="B8" s="2" t="s">
        <v>15</v>
      </c>
    </row>
    <row r="9" spans="1:2" ht="42" customHeight="1">
      <c r="A9" s="1" t="s">
        <v>16</v>
      </c>
      <c r="B9" s="2" t="s">
        <v>17</v>
      </c>
    </row>
    <row r="10" spans="1:2" ht="42" customHeight="1">
      <c r="A10" s="1" t="s">
        <v>18</v>
      </c>
      <c r="B10" s="2" t="s">
        <v>19</v>
      </c>
    </row>
    <row r="11" spans="1:2" ht="42" customHeight="1">
      <c r="A11" s="1" t="s">
        <v>20</v>
      </c>
      <c r="B11" s="2" t="s">
        <v>21</v>
      </c>
    </row>
    <row r="12" spans="1:2" ht="42" customHeight="1">
      <c r="A12" s="1" t="s">
        <v>22</v>
      </c>
      <c r="B12" s="2" t="s">
        <v>23</v>
      </c>
    </row>
    <row r="13" spans="1:2" ht="42" customHeight="1">
      <c r="A13" s="1" t="s">
        <v>24</v>
      </c>
      <c r="B13" s="2" t="s">
        <v>25</v>
      </c>
    </row>
    <row r="14" spans="1:2" ht="42" customHeight="1">
      <c r="A14" s="1" t="s">
        <v>26</v>
      </c>
      <c r="B14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60" width="17.7109375" customWidth="1"/>
  </cols>
  <sheetData>
    <row r="1" spans="1:60" ht="32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</row>
    <row r="2" spans="1:60">
      <c r="A2" t="s">
        <v>88</v>
      </c>
      <c r="B2" t="s">
        <v>89</v>
      </c>
      <c r="C2" t="s">
        <v>90</v>
      </c>
      <c r="D2" s="3">
        <v>1510.644</v>
      </c>
      <c r="E2" s="3">
        <v>283.762</v>
      </c>
      <c r="F2" s="3">
        <v>77.111</v>
      </c>
      <c r="G2" s="3">
        <v>72.474</v>
      </c>
      <c r="H2" s="4">
        <v>4.851</v>
      </c>
      <c r="I2" s="3">
        <v>4.901</v>
      </c>
      <c r="J2" s="3">
        <v>90.241</v>
      </c>
      <c r="K2" s="3">
        <v>102.91</v>
      </c>
      <c r="L2" s="3">
        <v>0</v>
      </c>
      <c r="M2" s="3">
        <v>44.137</v>
      </c>
      <c r="N2" s="3">
        <v>5.973</v>
      </c>
      <c r="O2" s="3">
        <v>6.517</v>
      </c>
      <c r="P2" s="3">
        <v>26.575</v>
      </c>
      <c r="Q2" s="3">
        <v>9.696999999999999</v>
      </c>
      <c r="R2" s="3">
        <v>0</v>
      </c>
      <c r="S2" s="3">
        <v>20.689</v>
      </c>
      <c r="T2" s="3">
        <v>20.422</v>
      </c>
      <c r="U2" s="3">
        <v>3.5</v>
      </c>
      <c r="V2" s="3">
        <v>14.462</v>
      </c>
      <c r="W2" s="3">
        <v>1607.479</v>
      </c>
      <c r="X2" s="3">
        <v>627.252</v>
      </c>
      <c r="Y2" s="3">
        <v>887.039</v>
      </c>
      <c r="Z2" s="3">
        <v>204.509</v>
      </c>
      <c r="AA2" s="3">
        <v>720.4400000000001</v>
      </c>
      <c r="AB2" s="3">
        <v>15.359</v>
      </c>
      <c r="AC2" s="3">
        <v>434.388</v>
      </c>
      <c r="AD2" s="3">
        <v>454.548</v>
      </c>
      <c r="AE2" s="3">
        <v>318.62</v>
      </c>
      <c r="AF2" s="3">
        <v>156.736</v>
      </c>
      <c r="AG2" s="3">
        <v>213.819</v>
      </c>
      <c r="AH2" s="3">
        <v>361.115</v>
      </c>
      <c r="AI2" s="3">
        <v>86.24299999999999</v>
      </c>
      <c r="AJ2" s="3">
        <v>27.148</v>
      </c>
      <c r="AK2" s="3">
        <v>6.7</v>
      </c>
      <c r="AL2" s="3">
        <v>2.8</v>
      </c>
      <c r="AM2" s="3">
        <v>16.327</v>
      </c>
      <c r="AN2" s="3">
        <v>829.572</v>
      </c>
      <c r="AO2" s="3">
        <v>143.6</v>
      </c>
      <c r="AP2" s="3">
        <f>K2+L2</f>
        <v>102.91</v>
      </c>
      <c r="AQ2" s="3">
        <f>J2-AP2</f>
        <v>-12.668999999999995</v>
      </c>
      <c r="AR2" s="3">
        <f>AB2+AC2</f>
        <v>449.747</v>
      </c>
      <c r="AS2" s="3">
        <f>AR2-V2</f>
        <v>435.285</v>
      </c>
      <c r="AT2" s="3">
        <f>G2+H2+I2+M2</f>
        <v>126.363</v>
      </c>
      <c r="AU2" s="3">
        <f>F2+M2</f>
        <v>121.248</v>
      </c>
      <c r="AV2" s="4">
        <f>E2/D2</f>
        <v>0.187841741667792</v>
      </c>
      <c r="AW2" s="4">
        <f>E2/AN2</f>
        <v>0.3420583144079115</v>
      </c>
      <c r="AX2" s="4">
        <f>F2/D2</f>
        <v>0.0510451171818112</v>
      </c>
      <c r="AY2" s="4">
        <f>G2/D2</f>
        <v>0.0479755653880067</v>
      </c>
      <c r="AZ2" s="4">
        <f>AQ2/D2</f>
        <v>-0.0083864894707157</v>
      </c>
      <c r="BA2" s="4">
        <f>O2/D2</f>
        <v>0.0043140541384998</v>
      </c>
      <c r="BB2" s="3">
        <f>X2/Z2</f>
        <v>3.0671119608427992</v>
      </c>
      <c r="BC2" s="3">
        <f>AR2/AA2</f>
        <v>0.6242671145411136</v>
      </c>
      <c r="BD2" s="3">
        <f>AJ2-AK2</f>
        <v>20.448</v>
      </c>
      <c r="BE2" s="3">
        <f>F2/I2</f>
        <v>15.733727810650889</v>
      </c>
      <c r="BF2" s="3">
        <f>AQ2/S2</f>
        <v>-0.6123543912223885</v>
      </c>
      <c r="BG2" s="4">
        <f>AQ2/G2</f>
        <v>-0.1748075171785743</v>
      </c>
      <c r="BH2" s="4">
        <f>AO2/AN2</f>
        <v>0.1731013100731461</v>
      </c>
    </row>
    <row r="3" spans="1:60">
      <c r="A3" t="s">
        <v>91</v>
      </c>
      <c r="B3" t="s">
        <v>92</v>
      </c>
      <c r="C3" t="s">
        <v>93</v>
      </c>
      <c r="D3" s="3">
        <v>1757.109</v>
      </c>
      <c r="E3" s="3">
        <v>343.88</v>
      </c>
      <c r="F3" s="3">
        <v>119.755</v>
      </c>
      <c r="G3" s="3">
        <v>85.98999999999999</v>
      </c>
      <c r="H3" s="4">
        <v>17.11</v>
      </c>
      <c r="I3" s="3">
        <v>21.905</v>
      </c>
      <c r="J3" s="3">
        <v>115.958</v>
      </c>
      <c r="K3" s="3">
        <v>77.608</v>
      </c>
      <c r="L3" s="3">
        <v>0</v>
      </c>
      <c r="M3" s="3">
        <v>53.436</v>
      </c>
      <c r="N3" s="3">
        <v>12.4</v>
      </c>
      <c r="O3" s="3">
        <v>8.813000000000001</v>
      </c>
      <c r="P3" s="3">
        <v>28.977</v>
      </c>
      <c r="Q3" s="3">
        <v>10.16</v>
      </c>
      <c r="R3" s="3">
        <v>0</v>
      </c>
      <c r="S3" s="3">
        <v>20.76</v>
      </c>
      <c r="T3" s="3">
        <v>20.511</v>
      </c>
      <c r="U3" s="3">
        <v>4.14</v>
      </c>
      <c r="V3" s="3">
        <v>13.101</v>
      </c>
      <c r="W3" s="3">
        <v>1691.979</v>
      </c>
      <c r="X3" s="3">
        <v>690.448</v>
      </c>
      <c r="Y3" s="3">
        <v>891.989</v>
      </c>
      <c r="Z3" s="3">
        <v>238.964</v>
      </c>
      <c r="AA3" s="3">
        <v>799.99</v>
      </c>
      <c r="AB3" s="3">
        <v>21.105</v>
      </c>
      <c r="AC3" s="3">
        <v>410.876</v>
      </c>
      <c r="AD3" s="3">
        <v>435.791</v>
      </c>
      <c r="AE3" s="3">
        <v>319.498</v>
      </c>
      <c r="AF3" s="3">
        <v>139.601</v>
      </c>
      <c r="AG3" s="3">
        <v>215.211</v>
      </c>
      <c r="AH3" s="3">
        <v>423.08</v>
      </c>
      <c r="AI3" s="3">
        <v>107.899</v>
      </c>
      <c r="AJ3" s="3">
        <v>27.148</v>
      </c>
      <c r="AK3" s="3">
        <v>6.605</v>
      </c>
      <c r="AL3" s="3">
        <v>1.485</v>
      </c>
      <c r="AM3" s="3">
        <v>13.876</v>
      </c>
      <c r="AN3" s="3">
        <v>1114.411</v>
      </c>
      <c r="AO3" s="3">
        <v>196</v>
      </c>
      <c r="AP3" s="3">
        <f>K3+L3</f>
        <v>77.608</v>
      </c>
      <c r="AQ3" s="3">
        <f>J3-AP3</f>
        <v>38.35</v>
      </c>
      <c r="AR3" s="3">
        <f>AB3+AC3</f>
        <v>431.981</v>
      </c>
      <c r="AS3" s="3">
        <f>AR3-V3</f>
        <v>418.88</v>
      </c>
      <c r="AT3" s="3">
        <f>G3+H3+I3+M3</f>
        <v>178.441</v>
      </c>
      <c r="AU3" s="3">
        <f>F3+M3</f>
        <v>173.191</v>
      </c>
      <c r="AV3" s="4">
        <f>E3/D3</f>
        <v>0.1957078359965147</v>
      </c>
      <c r="AW3" s="4">
        <f>E3/AN3</f>
        <v>0.3085755614400791</v>
      </c>
      <c r="AX3" s="4">
        <f>F3/D3</f>
        <v>0.0681545652546313</v>
      </c>
      <c r="AY3" s="4">
        <f>G3/D3</f>
        <v>0.0489383413322679</v>
      </c>
      <c r="AZ3" s="4">
        <f>AQ3/D3</f>
        <v>0.0218256237945397</v>
      </c>
      <c r="BA3" s="4">
        <f>O3/D3</f>
        <v>0.0050156250978169</v>
      </c>
      <c r="BB3" s="3">
        <f>X3/Z3</f>
        <v>2.8893389799300317</v>
      </c>
      <c r="BC3" s="3">
        <f>AR3/AA3</f>
        <v>0.5399829997874973</v>
      </c>
      <c r="BD3" s="3">
        <f>AJ3-AK3</f>
        <v>20.543</v>
      </c>
      <c r="BE3" s="3">
        <f>F3/I3</f>
        <v>5.46701666286236</v>
      </c>
      <c r="BF3" s="3">
        <f>AQ3/S3</f>
        <v>1.8473025048169556</v>
      </c>
      <c r="BG3" s="4">
        <f>AQ3/G3</f>
        <v>0.445982090940807</v>
      </c>
      <c r="BH3" s="4">
        <f>AO3/AN3</f>
        <v>0.1758776609347897</v>
      </c>
    </row>
    <row r="4" spans="1:60">
      <c r="A4" t="s">
        <v>94</v>
      </c>
      <c r="B4" t="s">
        <v>95</v>
      </c>
      <c r="C4" t="s">
        <v>96</v>
      </c>
      <c r="D4" s="3">
        <v>1665.187</v>
      </c>
      <c r="E4" s="3">
        <v>349.042</v>
      </c>
      <c r="F4" s="3">
        <v>136.444</v>
      </c>
      <c r="G4" s="3">
        <v>95.702</v>
      </c>
      <c r="H4" s="4">
        <v>12.129</v>
      </c>
      <c r="I4" s="3">
        <v>31.323</v>
      </c>
      <c r="J4" s="3">
        <v>144.414</v>
      </c>
      <c r="K4" s="3">
        <v>110.55</v>
      </c>
      <c r="L4" s="3">
        <v>9.326000000000001</v>
      </c>
      <c r="M4" s="3">
        <v>61.644</v>
      </c>
      <c r="N4" s="3">
        <v>12.876</v>
      </c>
      <c r="O4" s="3">
        <v>10.092</v>
      </c>
      <c r="P4" s="3">
        <v>27.54</v>
      </c>
      <c r="Q4" s="3">
        <v>10.621</v>
      </c>
      <c r="R4" s="3">
        <v>0</v>
      </c>
      <c r="S4" s="3">
        <v>20.911</v>
      </c>
      <c r="T4" s="3">
        <v>20.619</v>
      </c>
      <c r="U4" s="3">
        <v>4.58</v>
      </c>
      <c r="V4" s="3">
        <v>13.294</v>
      </c>
      <c r="W4" s="3">
        <v>1762.726</v>
      </c>
      <c r="X4" s="3">
        <v>709.3819999999999</v>
      </c>
      <c r="Y4" s="3">
        <v>877.6730000000001</v>
      </c>
      <c r="Z4" s="3">
        <v>254.995</v>
      </c>
      <c r="AA4" s="3">
        <v>885.053</v>
      </c>
      <c r="AB4" s="3">
        <v>38.597</v>
      </c>
      <c r="AC4" s="3">
        <v>387.576</v>
      </c>
      <c r="AD4" s="3">
        <v>428.993</v>
      </c>
      <c r="AE4" s="3">
        <v>320.873</v>
      </c>
      <c r="AF4" s="3">
        <v>133.571</v>
      </c>
      <c r="AG4" s="3">
        <v>192.747</v>
      </c>
      <c r="AH4" s="3">
        <v>441.597</v>
      </c>
      <c r="AI4" s="3">
        <v>125.663</v>
      </c>
      <c r="AJ4" s="3">
        <v>27.148</v>
      </c>
      <c r="AK4" s="3">
        <v>6.502</v>
      </c>
      <c r="AL4" s="3">
        <v>0.626</v>
      </c>
      <c r="AM4" s="3">
        <v>13.744</v>
      </c>
      <c r="AN4" s="3">
        <v>1127.071</v>
      </c>
      <c r="AO4" s="3">
        <v>217.7</v>
      </c>
      <c r="AP4" s="3">
        <f>K4+L4</f>
        <v>119.876</v>
      </c>
      <c r="AQ4" s="3">
        <f>J4-AP4</f>
        <v>24.537999999999982</v>
      </c>
      <c r="AR4" s="3">
        <f>AB4+AC4</f>
        <v>426.173</v>
      </c>
      <c r="AS4" s="3">
        <f>AR4-V4</f>
        <v>412.879</v>
      </c>
      <c r="AT4" s="3">
        <f>G4+H4+I4+M4</f>
        <v>200.798</v>
      </c>
      <c r="AU4" s="3">
        <f>F4+M4</f>
        <v>198.088</v>
      </c>
      <c r="AV4" s="4">
        <f>E4/D4</f>
        <v>0.2096112929058418</v>
      </c>
      <c r="AW4" s="4">
        <f>E4/AN4</f>
        <v>0.3096894516849426</v>
      </c>
      <c r="AX4" s="4">
        <f>F4/D4</f>
        <v>0.08193914557344</v>
      </c>
      <c r="AY4" s="4">
        <f>G4/D4</f>
        <v>0.0574722238403254</v>
      </c>
      <c r="AZ4" s="4">
        <f>AQ4/D4</f>
        <v>0.0147358825164981</v>
      </c>
      <c r="BA4" s="4">
        <f>O4/D4</f>
        <v>0.0060605805834419</v>
      </c>
      <c r="BB4" s="3">
        <f>X4/Z4</f>
        <v>2.7819447440145884</v>
      </c>
      <c r="BC4" s="3">
        <f>AR4/AA4</f>
        <v>0.48152257548418</v>
      </c>
      <c r="BD4" s="3">
        <f>AJ4-AK4</f>
        <v>20.646</v>
      </c>
      <c r="BE4" s="3">
        <f>F4/I4</f>
        <v>4.35603230852728</v>
      </c>
      <c r="BF4" s="3">
        <f>AQ4/S4</f>
        <v>1.173449380708717</v>
      </c>
      <c r="BG4" s="4">
        <f>AQ4/G4</f>
        <v>0.2564000752335372</v>
      </c>
      <c r="BH4" s="4">
        <f>AO4/AN4</f>
        <v>0.1931555332361492</v>
      </c>
    </row>
    <row r="5" spans="1:60">
      <c r="A5" t="s">
        <v>97</v>
      </c>
      <c r="B5" t="s">
        <v>98</v>
      </c>
      <c r="C5" t="s">
        <v>99</v>
      </c>
      <c r="D5" s="3">
        <v>1684.739</v>
      </c>
      <c r="E5" s="3">
        <v>325.985</v>
      </c>
      <c r="F5" s="3">
        <v>47.223</v>
      </c>
      <c r="G5" s="3">
        <v>5.888</v>
      </c>
      <c r="H5" s="4">
        <v>9.013999999999999</v>
      </c>
      <c r="I5" s="3">
        <v>34.764</v>
      </c>
      <c r="J5" s="3">
        <v>87.81699999999999</v>
      </c>
      <c r="K5" s="3">
        <v>68.649</v>
      </c>
      <c r="L5" s="3">
        <v>12.159</v>
      </c>
      <c r="M5" s="3">
        <v>68.676</v>
      </c>
      <c r="N5" s="3">
        <v>12.134</v>
      </c>
      <c r="O5" s="3">
        <v>10.56</v>
      </c>
      <c r="P5" s="3">
        <v>29.028</v>
      </c>
      <c r="Q5" s="3">
        <v>11.087</v>
      </c>
      <c r="R5" s="3">
        <v>0</v>
      </c>
      <c r="S5" s="3">
        <v>20.928</v>
      </c>
      <c r="T5" s="3">
        <v>20.732</v>
      </c>
      <c r="U5" s="3">
        <v>0.28</v>
      </c>
      <c r="V5" s="3">
        <v>16.713</v>
      </c>
      <c r="W5" s="3">
        <v>1697.632</v>
      </c>
      <c r="X5" s="3">
        <v>724.224</v>
      </c>
      <c r="Y5" s="3">
        <v>828.7510000000001</v>
      </c>
      <c r="Z5" s="3">
        <v>226.734</v>
      </c>
      <c r="AA5" s="3">
        <v>868.881</v>
      </c>
      <c r="AB5" s="3">
        <v>34.274</v>
      </c>
      <c r="AC5" s="3">
        <v>407.734</v>
      </c>
      <c r="AD5" s="3">
        <v>443.899</v>
      </c>
      <c r="AE5" s="3">
        <v>263.738</v>
      </c>
      <c r="AF5" s="3">
        <v>109.312</v>
      </c>
      <c r="AG5" s="3">
        <v>193.793</v>
      </c>
      <c r="AH5" s="3">
        <v>441.299</v>
      </c>
      <c r="AI5" s="3">
        <v>105.901</v>
      </c>
      <c r="AJ5" s="3">
        <v>27.148</v>
      </c>
      <c r="AK5" s="3">
        <v>6.384</v>
      </c>
      <c r="AL5" s="3">
        <v>0.552</v>
      </c>
      <c r="AM5" s="3">
        <v>12.404</v>
      </c>
      <c r="AN5" s="3">
        <v>1097.577</v>
      </c>
      <c r="AO5" s="3">
        <v>221.2</v>
      </c>
      <c r="AP5" s="3">
        <f>K5+L5</f>
        <v>80.808</v>
      </c>
      <c r="AQ5" s="3">
        <f>J5-AP5</f>
        <v>7.008999999999986</v>
      </c>
      <c r="AR5" s="3">
        <f>AB5+AC5</f>
        <v>442.008</v>
      </c>
      <c r="AS5" s="3">
        <f>AR5-V5</f>
        <v>425.295</v>
      </c>
      <c r="AT5" s="3">
        <f>G5+H5+I5+M5</f>
        <v>118.342</v>
      </c>
      <c r="AU5" s="3">
        <f>F5+M5</f>
        <v>115.899</v>
      </c>
      <c r="AV5" s="4">
        <f>E5/D5</f>
        <v>0.1934928793124632</v>
      </c>
      <c r="AW5" s="4">
        <f>E5/AN5</f>
        <v>0.2970042192939539</v>
      </c>
      <c r="AX5" s="4">
        <f>F5/D5</f>
        <v>0.0280298610051764</v>
      </c>
      <c r="AY5" s="4">
        <f>G5/D5</f>
        <v>0.0034949033648535</v>
      </c>
      <c r="AZ5" s="4">
        <f>AQ5/D5</f>
        <v>0.0041602883295275</v>
      </c>
      <c r="BA5" s="4">
        <f>O5/D5</f>
        <v>0.0062680332087047</v>
      </c>
      <c r="BB5" s="3">
        <f>X5/Z5</f>
        <v>3.1941570298234936</v>
      </c>
      <c r="BC5" s="3">
        <f>AR5/AA5</f>
        <v>0.5087094780528059</v>
      </c>
      <c r="BD5" s="3">
        <f>AJ5-AK5</f>
        <v>20.764</v>
      </c>
      <c r="BE5" s="3">
        <f>F5/I5</f>
        <v>1.3583879875733516</v>
      </c>
      <c r="BF5" s="3">
        <f>AQ5/S5</f>
        <v>0.334910168195718</v>
      </c>
      <c r="BG5" s="4">
        <f>AQ5/G5</f>
        <v>1.1903872282608672</v>
      </c>
      <c r="BH5" s="4">
        <f>AO5/AN5</f>
        <v>0.2015348353691813</v>
      </c>
    </row>
    <row r="6" spans="1:60">
      <c r="A6" t="s">
        <v>100</v>
      </c>
      <c r="B6" t="s">
        <v>101</v>
      </c>
      <c r="C6" t="s">
        <v>102</v>
      </c>
      <c r="D6" s="3">
        <v>1786.55</v>
      </c>
      <c r="E6" s="3">
        <v>308.626</v>
      </c>
      <c r="F6" s="3">
        <v>109.796</v>
      </c>
      <c r="G6" s="3">
        <v>74.82299999999999</v>
      </c>
      <c r="H6" s="4">
        <v>6.718</v>
      </c>
      <c r="I6" s="3">
        <v>30.692</v>
      </c>
      <c r="J6" s="3">
        <v>103.243</v>
      </c>
      <c r="K6" s="3">
        <v>53.279</v>
      </c>
      <c r="L6" s="3">
        <v>26.288</v>
      </c>
      <c r="M6" s="3">
        <v>69.074</v>
      </c>
      <c r="N6" s="3">
        <v>11.013</v>
      </c>
      <c r="O6" s="3">
        <v>10.925</v>
      </c>
      <c r="P6" s="3">
        <v>25.941</v>
      </c>
      <c r="Q6" s="3">
        <v>11.51</v>
      </c>
      <c r="R6" s="3">
        <v>7.843</v>
      </c>
      <c r="S6" s="3">
        <v>20.912</v>
      </c>
      <c r="T6" s="3">
        <v>20.755</v>
      </c>
      <c r="U6" s="3">
        <v>3.58</v>
      </c>
      <c r="V6" s="3">
        <v>13.681</v>
      </c>
      <c r="W6" s="3">
        <v>1802.801</v>
      </c>
      <c r="X6" s="3">
        <v>789.52</v>
      </c>
      <c r="Y6" s="3">
        <v>859.5239999999999</v>
      </c>
      <c r="Z6" s="3">
        <v>253.583</v>
      </c>
      <c r="AA6" s="3">
        <v>943.277</v>
      </c>
      <c r="AB6" s="3">
        <v>22.445</v>
      </c>
      <c r="AC6" s="3">
        <v>436.348</v>
      </c>
      <c r="AD6" s="3">
        <v>460.642</v>
      </c>
      <c r="AE6" s="3">
        <v>280.657</v>
      </c>
      <c r="AF6" s="3">
        <v>105.874</v>
      </c>
      <c r="AG6" s="3">
        <v>222.916</v>
      </c>
      <c r="AH6" s="3">
        <v>461.231</v>
      </c>
      <c r="AI6" s="3">
        <v>148.642</v>
      </c>
      <c r="AJ6" s="3">
        <v>27.148</v>
      </c>
      <c r="AK6" s="3">
        <v>6.413</v>
      </c>
      <c r="AL6" s="3">
        <v>0.622</v>
      </c>
      <c r="AM6" s="3">
        <v>13.384</v>
      </c>
      <c r="AN6" s="3">
        <v>1046.194</v>
      </c>
      <c r="AO6" s="3">
        <v>217</v>
      </c>
      <c r="AP6" s="3">
        <f>K6+L6</f>
        <v>79.56700000000001</v>
      </c>
      <c r="AQ6" s="3">
        <f>J6-AP6</f>
        <v>23.675999999999988</v>
      </c>
      <c r="AR6" s="3">
        <f>AB6+AC6</f>
        <v>458.793</v>
      </c>
      <c r="AS6" s="3">
        <f>AR6-V6</f>
        <v>445.112</v>
      </c>
      <c r="AT6" s="3">
        <f>G6+H6+I6+M6</f>
        <v>181.307</v>
      </c>
      <c r="AU6" s="3">
        <f>F6+M6</f>
        <v>178.87</v>
      </c>
      <c r="AV6" s="4">
        <f>E6/D6</f>
        <v>0.1727497131342531</v>
      </c>
      <c r="AW6" s="4">
        <f>E6/AN6</f>
        <v>0.2949988243098316</v>
      </c>
      <c r="AX6" s="4">
        <f>F6/D6</f>
        <v>0.0614569981248775</v>
      </c>
      <c r="AY6" s="4">
        <f>G6/D6</f>
        <v>0.0418812795611653</v>
      </c>
      <c r="AZ6" s="4">
        <f>AQ6/D6</f>
        <v>0.0132523578965044</v>
      </c>
      <c r="BA6" s="4">
        <f>O6/D6</f>
        <v>0.006115138115362</v>
      </c>
      <c r="BB6" s="3">
        <f>X6/Z6</f>
        <v>3.1134579210751507</v>
      </c>
      <c r="BC6" s="3">
        <f>AR6/AA6</f>
        <v>0.4863820489633479</v>
      </c>
      <c r="BD6" s="3">
        <f>AJ6-AK6</f>
        <v>20.735</v>
      </c>
      <c r="BE6" s="3">
        <f>F6/I6</f>
        <v>3.577349146357357</v>
      </c>
      <c r="BF6" s="3">
        <f>AQ6/S6</f>
        <v>1.132172915072685</v>
      </c>
      <c r="BG6" s="4">
        <f>AQ6/G6</f>
        <v>0.3164267671705223</v>
      </c>
      <c r="BH6" s="4">
        <f>AO6/AN6</f>
        <v>0.2074185093778018</v>
      </c>
    </row>
    <row r="7" spans="1:60">
      <c r="A7" t="s">
        <v>103</v>
      </c>
      <c r="B7" t="s">
        <v>101</v>
      </c>
      <c r="C7" t="s">
        <v>104</v>
      </c>
      <c r="D7" s="3">
        <v>851.9880000000001</v>
      </c>
      <c r="E7" s="3">
        <v>158.837</v>
      </c>
      <c r="F7" s="3">
        <v>64.014</v>
      </c>
      <c r="G7" s="3">
        <v>42.838</v>
      </c>
      <c r="H7" s="4">
        <v>7.262</v>
      </c>
      <c r="I7" s="3">
        <v>15.147</v>
      </c>
      <c r="J7" s="3">
        <v>65.44199999999999</v>
      </c>
      <c r="K7" s="3">
        <v>25.003</v>
      </c>
      <c r="L7" s="3">
        <v>10.175</v>
      </c>
      <c r="M7" s="3">
        <v>34.047</v>
      </c>
      <c r="N7" s="3">
        <v>5.695</v>
      </c>
      <c r="O7" s="3">
        <v>5.437</v>
      </c>
      <c r="P7" s="3">
        <v>12.918</v>
      </c>
      <c r="Q7" s="3">
        <v>5.705</v>
      </c>
      <c r="R7" s="3">
        <v>7.843</v>
      </c>
      <c r="S7" s="3">
        <v>20.874</v>
      </c>
      <c r="T7" s="3">
        <v>20.779</v>
      </c>
      <c r="U7" s="3">
        <v>2.05</v>
      </c>
      <c r="V7" s="3">
        <v>12.591</v>
      </c>
      <c r="W7" s="3">
        <v>1741.207</v>
      </c>
      <c r="X7" s="3">
        <v>735.1130000000001</v>
      </c>
      <c r="Y7" s="3">
        <v>830.5620000000001</v>
      </c>
      <c r="Z7" s="3">
        <v>231.901</v>
      </c>
      <c r="AA7" s="3">
        <v>910.645</v>
      </c>
      <c r="AB7" s="3">
        <v>19.88</v>
      </c>
      <c r="AC7" s="3">
        <v>405.697</v>
      </c>
      <c r="AD7" s="3">
        <v>427.604</v>
      </c>
      <c r="AE7" s="3">
        <v>265.695</v>
      </c>
      <c r="AF7" s="3">
        <v>107.627</v>
      </c>
      <c r="AG7" s="3">
        <v>198.377</v>
      </c>
      <c r="AH7" s="3">
        <v>444.637</v>
      </c>
      <c r="AI7" s="3">
        <v>132.338</v>
      </c>
      <c r="AJ7" s="3">
        <v>27.148</v>
      </c>
      <c r="AK7" s="3">
        <v>6.420999999999999</v>
      </c>
      <c r="AL7" t="s">
        <v>105</v>
      </c>
      <c r="AM7" s="3">
        <v>13.612</v>
      </c>
      <c r="AN7" s="3">
        <v>528.316</v>
      </c>
      <c r="AO7" s="3">
        <v>104.5</v>
      </c>
      <c r="AP7" s="3">
        <f>K7+L7</f>
        <v>35.178</v>
      </c>
      <c r="AQ7" s="3">
        <f>J7-AP7</f>
        <v>30.264</v>
      </c>
      <c r="AR7" s="3">
        <f>AB7+AC7</f>
        <v>425.577</v>
      </c>
      <c r="AS7" s="3">
        <f>AR7-V7</f>
        <v>412.986</v>
      </c>
      <c r="AT7" s="3">
        <f>G7+H7+I7+M7</f>
        <v>99.294</v>
      </c>
      <c r="AU7" s="3">
        <f>F7+M7</f>
        <v>98.061</v>
      </c>
      <c r="AV7" s="4">
        <f>E7/D7</f>
        <v>0.186431029545017</v>
      </c>
      <c r="AW7" s="4">
        <f>E7/AN7</f>
        <v>0.300647718410951</v>
      </c>
      <c r="AX7" s="4">
        <f>F7/D7</f>
        <v>0.075134861054381</v>
      </c>
      <c r="AY7" s="4">
        <f>G7/D7</f>
        <v>0.0502800508927355</v>
      </c>
      <c r="AZ7" s="4">
        <f>AQ7/D7</f>
        <v>0.0355216270651699</v>
      </c>
      <c r="BA7" s="4">
        <f>O7/D7</f>
        <v>0.0063815452799804</v>
      </c>
      <c r="BB7" s="3">
        <f>X7/Z7</f>
        <v>3.169943208524327</v>
      </c>
      <c r="BC7" s="3">
        <f>AR7/AA7</f>
        <v>0.4673357894679046</v>
      </c>
      <c r="BD7" s="3">
        <f>AJ7-AK7</f>
        <v>20.727</v>
      </c>
      <c r="BE7" s="3">
        <f>F7/I7</f>
        <v>4.226183402653991</v>
      </c>
      <c r="BF7" s="3">
        <f>AQ7/S7</f>
        <v>1.4498419085944236</v>
      </c>
      <c r="BG7" s="4">
        <f>AQ7/G7</f>
        <v>0.706475559083057</v>
      </c>
      <c r="BH7" s="4">
        <f>AO7/AN7</f>
        <v>0.1977982873886083</v>
      </c>
    </row>
    <row r="8" spans="1:60">
      <c r="A8" t="s">
        <v>106</v>
      </c>
      <c r="B8" t="s">
        <v>107</v>
      </c>
      <c r="C8" t="s">
        <v>108</v>
      </c>
      <c r="D8" s="3">
        <v>1163.73</v>
      </c>
      <c r="E8" s="3">
        <v>186.177</v>
      </c>
      <c r="F8" s="3">
        <v>79.886</v>
      </c>
      <c r="G8" s="3">
        <v>58.132</v>
      </c>
      <c r="H8" s="4">
        <v>7.277</v>
      </c>
      <c r="I8" s="3">
        <v>15.104</v>
      </c>
      <c r="J8" s="3">
        <v>70.506</v>
      </c>
      <c r="K8" s="3">
        <v>29.818</v>
      </c>
      <c r="L8" s="3">
        <v>1.661</v>
      </c>
      <c r="M8" s="3">
        <v>37.614</v>
      </c>
      <c r="N8" s="3">
        <v>5.205</v>
      </c>
      <c r="O8" s="3">
        <v>8.635</v>
      </c>
      <c r="P8" s="3">
        <v>12.719</v>
      </c>
      <c r="Q8" s="3">
        <v>5.926</v>
      </c>
      <c r="R8" s="3">
        <v>0</v>
      </c>
      <c r="S8" s="3">
        <v>21.048</v>
      </c>
      <c r="T8" s="3">
        <v>20.791</v>
      </c>
      <c r="U8" s="3">
        <v>2.76</v>
      </c>
      <c r="V8" s="3">
        <v>19.987</v>
      </c>
      <c r="W8" s="3">
        <v>1870.697</v>
      </c>
      <c r="X8" s="3">
        <v>869.956</v>
      </c>
      <c r="Y8" s="3">
        <v>875.8299999999999</v>
      </c>
      <c r="Z8" s="3">
        <v>295.792</v>
      </c>
      <c r="AA8" s="3">
        <v>994.867</v>
      </c>
      <c r="AB8" s="3">
        <v>17.478</v>
      </c>
      <c r="AC8" s="3">
        <v>423.21</v>
      </c>
      <c r="AD8" s="3">
        <v>442.332</v>
      </c>
      <c r="AE8" s="3">
        <v>280.186</v>
      </c>
      <c r="AF8" s="3">
        <v>99.893</v>
      </c>
      <c r="AG8" s="3">
        <v>260.779</v>
      </c>
      <c r="AH8" s="3">
        <v>487.444</v>
      </c>
      <c r="AI8" s="3">
        <v>192.292</v>
      </c>
      <c r="AJ8" s="3">
        <v>27.148</v>
      </c>
      <c r="AK8" s="3">
        <v>6.314</v>
      </c>
      <c r="AL8" t="s">
        <v>105</v>
      </c>
      <c r="AM8" s="3">
        <v>12.671</v>
      </c>
      <c r="AN8" s="3">
        <v>569.978</v>
      </c>
      <c r="AO8" s="3">
        <v>124.8</v>
      </c>
      <c r="AP8" s="3">
        <f>K8+L8</f>
        <v>31.479000000000003</v>
      </c>
      <c r="AQ8" s="3">
        <f>J8-AP8</f>
        <v>39.027</v>
      </c>
      <c r="AR8" s="3">
        <f>AB8+AC8</f>
        <v>440.688</v>
      </c>
      <c r="AS8" s="3">
        <f>AR8-V8</f>
        <v>420.701</v>
      </c>
      <c r="AT8" s="3">
        <f>G8+H8+I8+M8</f>
        <v>118.12699999999998</v>
      </c>
      <c r="AU8" s="3">
        <f>F8+M8</f>
        <v>117.5</v>
      </c>
      <c r="AV8" s="4">
        <f>E8/D8</f>
        <v>0.1599829857441159</v>
      </c>
      <c r="AW8" s="4">
        <f>E8/AN8</f>
        <v>0.3266389229057964</v>
      </c>
      <c r="AX8" s="4">
        <f>F8/D8</f>
        <v>0.0686465073513615</v>
      </c>
      <c r="AY8" s="4">
        <f>G8/D8</f>
        <v>0.049953167831026</v>
      </c>
      <c r="AZ8" s="4">
        <f>AQ8/D8</f>
        <v>0.0335361295145781</v>
      </c>
      <c r="BA8" s="4">
        <f>O8/D8</f>
        <v>0.0074201060383422</v>
      </c>
      <c r="BB8" s="3">
        <f>X8/Z8</f>
        <v>2.941107264564289</v>
      </c>
      <c r="BC8" s="3">
        <f>AR8/AA8</f>
        <v>0.4429617225217039</v>
      </c>
      <c r="BD8" s="3">
        <f>AJ8-AK8</f>
        <v>20.834</v>
      </c>
      <c r="BE8" s="3">
        <f>F8/I8</f>
        <v>5.2890625</v>
      </c>
      <c r="BF8" s="3">
        <f>AQ8/S8</f>
        <v>1.854190421892817</v>
      </c>
      <c r="BG8" s="4">
        <f>AQ8/G8</f>
        <v>0.6713514071423657</v>
      </c>
      <c r="BH8" s="4">
        <f>AO8/AN8</f>
        <v>0.2189558193474134</v>
      </c>
    </row>
    <row r="9" spans="1:60">
      <c r="A9" t="s">
        <v>109</v>
      </c>
      <c r="B9" t="s">
        <v>110</v>
      </c>
      <c r="C9" t="s">
        <v>108</v>
      </c>
      <c r="D9" s="3">
        <v>2098.291999999999</v>
      </c>
      <c r="E9" s="3">
        <v>335.966</v>
      </c>
      <c r="F9" s="3">
        <v>125.668</v>
      </c>
      <c r="G9" s="3">
        <v>90.117</v>
      </c>
      <c r="H9" s="4">
        <v>6.733000000000001</v>
      </c>
      <c r="I9" s="3">
        <v>30.649</v>
      </c>
      <c r="J9" s="3">
        <v>108.307</v>
      </c>
      <c r="K9" s="3">
        <v>58.09400000000001</v>
      </c>
      <c r="L9" s="3">
        <v>17.774</v>
      </c>
      <c r="M9" s="3">
        <v>72.64099999999999</v>
      </c>
      <c r="N9" s="3">
        <v>10.523</v>
      </c>
      <c r="O9" s="3">
        <v>14.123</v>
      </c>
      <c r="P9" s="3">
        <v>25.742</v>
      </c>
      <c r="Q9" s="3">
        <v>11.731</v>
      </c>
      <c r="R9" s="3">
        <v>0</v>
      </c>
      <c r="S9" s="3">
        <v>20.99768194070081</v>
      </c>
      <c r="T9" s="3">
        <v>20.7613396226415</v>
      </c>
      <c r="U9" s="3">
        <v>4.29</v>
      </c>
      <c r="V9" s="3">
        <v>19.987</v>
      </c>
      <c r="W9" s="3">
        <v>1870.697</v>
      </c>
      <c r="X9" s="3">
        <v>869.956</v>
      </c>
      <c r="Y9" s="3">
        <v>875.8299999999999</v>
      </c>
      <c r="Z9" s="3">
        <v>295.792</v>
      </c>
      <c r="AA9" s="3">
        <v>994.867</v>
      </c>
      <c r="AB9" s="3">
        <v>17.478</v>
      </c>
      <c r="AC9" s="3">
        <v>423.21</v>
      </c>
      <c r="AD9" s="3">
        <v>442.332</v>
      </c>
      <c r="AE9" s="3">
        <v>280.186</v>
      </c>
      <c r="AF9" s="3">
        <v>99.893</v>
      </c>
      <c r="AG9" s="3">
        <v>260.779</v>
      </c>
      <c r="AH9" s="3">
        <v>487.444</v>
      </c>
      <c r="AI9" s="3">
        <v>192.292</v>
      </c>
      <c r="AJ9" s="3">
        <v>27.148</v>
      </c>
      <c r="AK9" s="3">
        <v>6.314</v>
      </c>
      <c r="AL9" t="s">
        <v>105</v>
      </c>
      <c r="AM9" s="3">
        <v>12.671</v>
      </c>
      <c r="AN9" s="3">
        <v>1087.856</v>
      </c>
      <c r="AO9" s="3">
        <v>237.2</v>
      </c>
      <c r="AP9" s="3">
        <f>K9+L9</f>
        <v>75.86800000000001</v>
      </c>
      <c r="AQ9" s="3">
        <f>J9-AP9</f>
        <v>32.43899999999999</v>
      </c>
      <c r="AR9" s="3">
        <f>AB9+AC9</f>
        <v>440.688</v>
      </c>
      <c r="AS9" s="3">
        <f>AR9-V9</f>
        <v>420.701</v>
      </c>
      <c r="AT9" s="3">
        <f>G9+H9+I9+M9</f>
        <v>200.14</v>
      </c>
      <c r="AU9" s="3">
        <f>F9+M9</f>
        <v>198.30900000000003</v>
      </c>
      <c r="AV9" s="4">
        <f>E9/D9</f>
        <v>0.1601140356061025</v>
      </c>
      <c r="AW9" s="4">
        <f>E9/AN9</f>
        <v>0.3088331543880808</v>
      </c>
      <c r="AX9" s="4">
        <f>F9/D9</f>
        <v>0.0598906157960856</v>
      </c>
      <c r="AY9" s="4">
        <f>G9/D9</f>
        <v>0.0429477880104389</v>
      </c>
      <c r="AZ9" s="4">
        <f>AQ9/D9</f>
        <v>0.0154597167601077</v>
      </c>
      <c r="BA9" s="4">
        <f>O9/D9</f>
        <v>0.0067307124079966</v>
      </c>
      <c r="BB9" s="3">
        <f>X9/Z9</f>
        <v>2.941107264564289</v>
      </c>
      <c r="BC9" s="3">
        <f>AR9/AA9</f>
        <v>0.4429617225217039</v>
      </c>
      <c r="BD9" s="3">
        <f>AJ9-AK9</f>
        <v>20.834</v>
      </c>
      <c r="BE9" s="3">
        <f>F9/I9</f>
        <v>4.100231655192666</v>
      </c>
      <c r="BF9" s="3">
        <f>AQ9/S9</f>
        <v>1.544884815933988</v>
      </c>
      <c r="BG9" s="4">
        <f>AQ9/G9</f>
        <v>0.3599653783414893</v>
      </c>
      <c r="BH9" s="4">
        <f>AO9/AN9</f>
        <v>0.2180435645894309</v>
      </c>
    </row>
  </sheetData>
  <autoFilter ref="A1:BH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6" width="17.7109375" customWidth="1"/>
  </cols>
  <sheetData>
    <row r="1" spans="1:6">
      <c r="A1" s="5" t="s">
        <v>111</v>
      </c>
    </row>
    <row r="2" spans="1:6">
      <c r="A2" t="s">
        <v>112</v>
      </c>
      <c r="B2" s="6">
        <v>1203.1231</v>
      </c>
    </row>
    <row r="4" spans="1:6">
      <c r="A4" s="1" t="s">
        <v>113</v>
      </c>
      <c r="B4" s="6">
        <v>1</v>
      </c>
      <c r="C4" s="6">
        <v>2</v>
      </c>
      <c r="D4" s="6">
        <v>3</v>
      </c>
      <c r="E4" s="6">
        <v>4</v>
      </c>
      <c r="F4" s="6">
        <v>5</v>
      </c>
    </row>
    <row r="5" spans="1:6">
      <c r="A5" t="s">
        <v>114</v>
      </c>
      <c r="B5" s="7">
        <v>0</v>
      </c>
      <c r="C5" s="7">
        <v>0.03</v>
      </c>
      <c r="D5" s="7">
        <v>0.04</v>
      </c>
      <c r="E5" s="7">
        <v>0.04</v>
      </c>
      <c r="F5" s="7">
        <v>0.04</v>
      </c>
    </row>
    <row r="6" spans="1:6">
      <c r="A6" t="s">
        <v>6</v>
      </c>
      <c r="B6" s="3">
        <f>$B$2*(1+B5)</f>
        <v>1203.1230999999998</v>
      </c>
      <c r="C6" s="3">
        <f>B6*(1+C5)</f>
        <v>1239.2167929999998</v>
      </c>
      <c r="D6" s="3">
        <f>C6*(1+D5)</f>
        <v>1288.78546472</v>
      </c>
      <c r="E6" s="3">
        <f>D6*(1+E5)</f>
        <v>1340.3368833088</v>
      </c>
      <c r="F6" s="3">
        <f>E6*(1+F5)</f>
        <v>1393.950358641152</v>
      </c>
    </row>
    <row r="7" spans="1:6">
      <c r="A7" t="s">
        <v>115</v>
      </c>
      <c r="B7" s="7">
        <v>0.205</v>
      </c>
      <c r="C7" s="7">
        <v>0.21</v>
      </c>
      <c r="D7" s="7">
        <v>0.215</v>
      </c>
      <c r="E7" s="7">
        <v>0.22</v>
      </c>
      <c r="F7" s="7">
        <v>0.22</v>
      </c>
    </row>
    <row r="8" spans="1:6">
      <c r="A8" t="s">
        <v>116</v>
      </c>
      <c r="B8" s="3">
        <f>B6*B7</f>
        <v>246.64023549999996</v>
      </c>
      <c r="C8" s="3">
        <f>C6*C7</f>
        <v>260.23552653</v>
      </c>
      <c r="D8" s="3">
        <f>D6*D7</f>
        <v>277.0888749148</v>
      </c>
      <c r="E8" s="3">
        <f>E6*E7</f>
        <v>294.874114327936</v>
      </c>
      <c r="F8" s="3">
        <f>F6*F7</f>
        <v>306.6690789010534</v>
      </c>
    </row>
    <row r="9" spans="1:6">
      <c r="A9" t="s">
        <v>117</v>
      </c>
      <c r="B9" s="7">
        <v>0.067</v>
      </c>
      <c r="C9" s="7">
        <v>0.067</v>
      </c>
      <c r="D9" s="7">
        <v>0.067</v>
      </c>
      <c r="E9" s="7">
        <v>0.067</v>
      </c>
      <c r="F9" s="7">
        <v>0.067</v>
      </c>
    </row>
    <row r="10" spans="1:6">
      <c r="A10" t="s">
        <v>118</v>
      </c>
      <c r="B10" s="3">
        <f>B6*B9</f>
        <v>80.6092477</v>
      </c>
      <c r="C10" s="3">
        <f>C6*C9</f>
        <v>83.02752513099999</v>
      </c>
      <c r="D10" s="3">
        <f>D6*D9</f>
        <v>86.34862613624</v>
      </c>
      <c r="E10" s="3">
        <f>E6*E9</f>
        <v>89.8025711816896</v>
      </c>
      <c r="F10" s="3">
        <f>F6*F9</f>
        <v>93.39467402895718</v>
      </c>
    </row>
    <row r="11" spans="1:6">
      <c r="A11" t="s">
        <v>119</v>
      </c>
      <c r="B11" s="3">
        <f>B8-B10</f>
        <v>166.0309877999999</v>
      </c>
      <c r="C11" s="3">
        <f>C8-C10</f>
        <v>177.20800139899995</v>
      </c>
      <c r="D11" s="3">
        <f>D8-D10</f>
        <v>190.74024877856</v>
      </c>
      <c r="E11" s="3">
        <f>E8-E10</f>
        <v>205.07154314624643</v>
      </c>
      <c r="F11" s="3">
        <f>F8-F10</f>
        <v>213.27440487209623</v>
      </c>
    </row>
    <row r="12" spans="1:6">
      <c r="A12" t="s">
        <v>120</v>
      </c>
      <c r="B12" s="7">
        <v>0.18</v>
      </c>
      <c r="C12" s="7">
        <v>0.19</v>
      </c>
      <c r="D12" s="7">
        <v>0.2</v>
      </c>
      <c r="E12" s="7">
        <v>0.21</v>
      </c>
      <c r="F12" s="7">
        <v>0.21</v>
      </c>
    </row>
    <row r="13" spans="1:6">
      <c r="A13" t="s">
        <v>121</v>
      </c>
      <c r="B13" s="3">
        <f>B11*(1-B12)</f>
        <v>136.14540999599993</v>
      </c>
      <c r="C13" s="3">
        <f>C11*(1-C12)</f>
        <v>143.53848113318998</v>
      </c>
      <c r="D13" s="3">
        <f>D11*(1-D12)</f>
        <v>152.592199022848</v>
      </c>
      <c r="E13" s="3">
        <f>E11*(1-E12)</f>
        <v>162.00651908553468</v>
      </c>
      <c r="F13" s="3">
        <f>F11*(1-F12)</f>
        <v>168.48677984895602</v>
      </c>
    </row>
    <row r="14" spans="1:6">
      <c r="A14" t="s">
        <v>122</v>
      </c>
      <c r="B14" s="7">
        <v>0.08500000000000001</v>
      </c>
      <c r="C14" s="7">
        <v>0.08500000000000001</v>
      </c>
      <c r="D14" s="7">
        <v>0.08500000000000001</v>
      </c>
      <c r="E14" s="7">
        <v>0.08500000000000001</v>
      </c>
      <c r="F14" s="7">
        <v>0.08500000000000001</v>
      </c>
    </row>
    <row r="15" spans="1:6">
      <c r="A15" t="s">
        <v>123</v>
      </c>
      <c r="B15" s="3">
        <f>B6*B14</f>
        <v>102.2654635</v>
      </c>
      <c r="C15" s="3">
        <f>C6*C14</f>
        <v>105.333427405</v>
      </c>
      <c r="D15" s="3">
        <f>D6*D14</f>
        <v>109.5467645012</v>
      </c>
      <c r="E15" s="3">
        <f>E6*E14</f>
        <v>113.928635081248</v>
      </c>
      <c r="F15" s="3">
        <f>F6*F14</f>
        <v>118.48578048449792</v>
      </c>
    </row>
    <row r="16" spans="1:6">
      <c r="A16" t="s">
        <v>124</v>
      </c>
      <c r="B16" s="7">
        <v>0.35</v>
      </c>
      <c r="C16" s="7">
        <v>0.35</v>
      </c>
      <c r="D16" s="7">
        <v>0.35</v>
      </c>
      <c r="E16" s="7">
        <v>0.35</v>
      </c>
      <c r="F16" s="7">
        <v>0.35</v>
      </c>
    </row>
    <row r="17" spans="1:6">
      <c r="A17" t="s">
        <v>125</v>
      </c>
      <c r="B17" s="3">
        <f>(B6-$B$2)*B16</f>
        <v>0.0</v>
      </c>
      <c r="C17" s="3">
        <f>(C6-B6)*C16</f>
        <v>12.63279255000001</v>
      </c>
      <c r="D17" s="3">
        <f>(D6-C6)*D16</f>
        <v>17.349035102000038</v>
      </c>
      <c r="E17" s="3">
        <f>(E6-D6)*E16</f>
        <v>18.04299650608002</v>
      </c>
      <c r="F17" s="3">
        <f>(F6-E6)*F16</f>
        <v>18.764716366323192</v>
      </c>
    </row>
    <row r="18" spans="1:6">
      <c r="A18" s="1" t="s">
        <v>126</v>
      </c>
      <c r="B18" s="3">
        <f>B13+B10-B15-B17</f>
        <v>114.48919419599996</v>
      </c>
      <c r="C18" s="3">
        <f>C13+C10-C15-C17</f>
        <v>108.59978630918998</v>
      </c>
      <c r="D18" s="3">
        <f>D13+D10-D15-D17</f>
        <v>112.04502555588796</v>
      </c>
      <c r="E18" s="3">
        <f>E13+E10-E15-E17</f>
        <v>119.83745867989629</v>
      </c>
      <c r="F18" s="3">
        <f>F13+F10-F15-F17</f>
        <v>124.63095702709208</v>
      </c>
    </row>
    <row r="19" spans="1:6">
      <c r="A19" t="s">
        <v>127</v>
      </c>
      <c r="B19" s="3">
        <f>B18/(1+$B$21)^B4</f>
        <v>102.2224948178571</v>
      </c>
      <c r="C19" s="3">
        <f>C18/(1+$B$21)^C4</f>
        <v>86.57508474903537</v>
      </c>
      <c r="D19" s="3">
        <f>D18/(1+$B$21)^D4</f>
        <v>79.75143605642988</v>
      </c>
      <c r="E19" s="3">
        <f>E18/(1+$B$21)^E4</f>
        <v>76.15887146116603</v>
      </c>
      <c r="F19" s="3">
        <f>F18/(1+$B$21)^F4</f>
        <v>70.71895207108271</v>
      </c>
    </row>
    <row r="21" spans="1:6">
      <c r="A21" t="s">
        <v>128</v>
      </c>
      <c r="B21" s="7">
        <v>0.12</v>
      </c>
    </row>
    <row r="22" spans="1:6">
      <c r="A22" t="s">
        <v>129</v>
      </c>
      <c r="B22" s="7">
        <v>0.02</v>
      </c>
    </row>
    <row r="23" spans="1:6">
      <c r="A23" t="s">
        <v>130</v>
      </c>
      <c r="B23" s="8">
        <v>21.15</v>
      </c>
    </row>
    <row r="24" spans="1:6">
      <c r="A24" t="s">
        <v>131</v>
      </c>
      <c r="B24" s="6">
        <v>458.8</v>
      </c>
    </row>
    <row r="26" spans="1:6">
      <c r="A26" t="s">
        <v>132</v>
      </c>
      <c r="B26" s="3">
        <f>F6*(1+B22)</f>
        <v>1421.829365813975</v>
      </c>
    </row>
    <row r="27" spans="1:6">
      <c r="A27" t="s">
        <v>133</v>
      </c>
      <c r="B27" s="3">
        <f>B26*F7</f>
        <v>312.8024604790745</v>
      </c>
    </row>
    <row r="28" spans="1:6">
      <c r="A28" t="s">
        <v>134</v>
      </c>
      <c r="B28" s="3">
        <f>B26*F9</f>
        <v>95.26256750953634</v>
      </c>
    </row>
    <row r="29" spans="1:6">
      <c r="A29" t="s">
        <v>135</v>
      </c>
      <c r="B29" s="3">
        <f>B27-B28</f>
        <v>217.5398929695382</v>
      </c>
    </row>
    <row r="30" spans="1:6">
      <c r="A30" t="s">
        <v>136</v>
      </c>
      <c r="B30" s="3">
        <f>B26*F14</f>
        <v>120.85549609418788</v>
      </c>
    </row>
    <row r="31" spans="1:6">
      <c r="A31" t="s">
        <v>137</v>
      </c>
      <c r="B31" s="3">
        <f>F6*B22*F16</f>
        <v>9.757652510488064</v>
      </c>
    </row>
    <row r="32" spans="1:6">
      <c r="A32" t="s">
        <v>138</v>
      </c>
      <c r="B32" s="3">
        <f>B29*(1-F12)+B28-B30-B31</f>
        <v>136.50593435079557</v>
      </c>
    </row>
    <row r="33" spans="1:2">
      <c r="A33" t="s">
        <v>139</v>
      </c>
      <c r="B33" s="3">
        <f>B32/(B21-B22)</f>
        <v>1365.0593435079559</v>
      </c>
    </row>
    <row r="34" spans="1:2">
      <c r="A34" t="s">
        <v>140</v>
      </c>
      <c r="B34" s="3">
        <f>B33/(1+B21)^F4</f>
        <v>774.5713311560146</v>
      </c>
    </row>
    <row r="35" spans="1:2">
      <c r="A35" t="s">
        <v>141</v>
      </c>
      <c r="B35" s="3">
        <f>SUM(B19:F19)</f>
        <v>415.4268391555711</v>
      </c>
    </row>
    <row r="36" spans="1:2">
      <c r="A36" s="1" t="s">
        <v>142</v>
      </c>
      <c r="B36" s="3">
        <f>B34+B35</f>
        <v>1189.9981703115857</v>
      </c>
    </row>
    <row r="37" spans="1:2">
      <c r="A37" t="s">
        <v>143</v>
      </c>
      <c r="B37" s="3">
        <f>B36-B24</f>
        <v>731.1981703115857</v>
      </c>
    </row>
    <row r="38" spans="1:2">
      <c r="A38" s="1" t="s">
        <v>144</v>
      </c>
      <c r="B38" s="9">
        <f>B37/B23</f>
        <v>34.57201750882202</v>
      </c>
    </row>
    <row r="39" spans="1:2">
      <c r="A39" t="s">
        <v>145</v>
      </c>
      <c r="B39" s="4">
        <f>B34/B36</f>
        <v>0.6509012790777678</v>
      </c>
    </row>
    <row r="41" spans="1:2">
      <c r="A41" s="2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6" width="17.7109375" customWidth="1"/>
  </cols>
  <sheetData>
    <row r="1" spans="1:6">
      <c r="A1" s="5" t="s">
        <v>147</v>
      </c>
    </row>
    <row r="2" spans="1:6">
      <c r="A2" t="s">
        <v>112</v>
      </c>
      <c r="B2" s="6">
        <v>1203.1231</v>
      </c>
    </row>
    <row r="4" spans="1:6">
      <c r="A4" s="1" t="s">
        <v>113</v>
      </c>
      <c r="B4" s="6">
        <v>1</v>
      </c>
      <c r="C4" s="6">
        <v>2</v>
      </c>
      <c r="D4" s="6">
        <v>3</v>
      </c>
      <c r="E4" s="6">
        <v>4</v>
      </c>
      <c r="F4" s="6">
        <v>5</v>
      </c>
    </row>
    <row r="5" spans="1:6">
      <c r="A5" t="s">
        <v>114</v>
      </c>
      <c r="B5" s="7">
        <v>0.075</v>
      </c>
      <c r="C5" s="7">
        <v>0.12</v>
      </c>
      <c r="D5" s="7">
        <v>0.1</v>
      </c>
      <c r="E5" s="7">
        <v>0.08</v>
      </c>
      <c r="F5" s="7">
        <v>0.06</v>
      </c>
    </row>
    <row r="6" spans="1:6">
      <c r="A6" t="s">
        <v>6</v>
      </c>
      <c r="B6" s="3">
        <f>$B$2*(1+B5)</f>
        <v>1293.3573324999998</v>
      </c>
      <c r="C6" s="3">
        <f>B6*(1+C5)</f>
        <v>1448.5602124</v>
      </c>
      <c r="D6" s="3">
        <f>C6*(1+D5)</f>
        <v>1593.41623364</v>
      </c>
      <c r="E6" s="3">
        <f>D6*(1+E5)</f>
        <v>1720.8895323312</v>
      </c>
      <c r="F6" s="3">
        <f>E6*(1+F5)</f>
        <v>1824.142904271072</v>
      </c>
    </row>
    <row r="7" spans="1:6">
      <c r="A7" t="s">
        <v>115</v>
      </c>
      <c r="B7" s="7">
        <v>0.235</v>
      </c>
      <c r="C7" s="7">
        <v>0.24</v>
      </c>
      <c r="D7" s="7">
        <v>0.245</v>
      </c>
      <c r="E7" s="7">
        <v>0.25</v>
      </c>
      <c r="F7" s="7">
        <v>0.25</v>
      </c>
    </row>
    <row r="8" spans="1:6">
      <c r="A8" t="s">
        <v>116</v>
      </c>
      <c r="B8" s="3">
        <f>B6*B7</f>
        <v>303.93897313749994</v>
      </c>
      <c r="C8" s="3">
        <f>C6*C7</f>
        <v>347.654450976</v>
      </c>
      <c r="D8" s="3">
        <f>D6*D7</f>
        <v>390.3869772418</v>
      </c>
      <c r="E8" s="3">
        <f>E6*E7</f>
        <v>430.2223830828</v>
      </c>
      <c r="F8" s="3">
        <f>F6*F7</f>
        <v>456.03572606776805</v>
      </c>
    </row>
    <row r="9" spans="1:6">
      <c r="A9" t="s">
        <v>117</v>
      </c>
      <c r="B9" s="7">
        <v>0.062</v>
      </c>
      <c r="C9" s="7">
        <v>0.062</v>
      </c>
      <c r="D9" s="7">
        <v>0.062</v>
      </c>
      <c r="E9" s="7">
        <v>0.062</v>
      </c>
      <c r="F9" s="7">
        <v>0.062</v>
      </c>
    </row>
    <row r="10" spans="1:6">
      <c r="A10" t="s">
        <v>118</v>
      </c>
      <c r="B10" s="3">
        <f>B6*B9</f>
        <v>80.18815461499999</v>
      </c>
      <c r="C10" s="3">
        <f>C6*C9</f>
        <v>89.8107331688</v>
      </c>
      <c r="D10" s="3">
        <f>D6*D9</f>
        <v>98.79180648568</v>
      </c>
      <c r="E10" s="3">
        <f>E6*E9</f>
        <v>106.6951510045344</v>
      </c>
      <c r="F10" s="3">
        <f>F6*F9</f>
        <v>113.09686006480648</v>
      </c>
    </row>
    <row r="11" spans="1:6">
      <c r="A11" t="s">
        <v>119</v>
      </c>
      <c r="B11" s="3">
        <f>B8-B10</f>
        <v>223.7508185225</v>
      </c>
      <c r="C11" s="3">
        <f>C8-C10</f>
        <v>257.84371780719994</v>
      </c>
      <c r="D11" s="3">
        <f>D8-D10</f>
        <v>291.59517075612</v>
      </c>
      <c r="E11" s="3">
        <f>E8-E10</f>
        <v>323.5272320782656</v>
      </c>
      <c r="F11" s="3">
        <f>F8-F10</f>
        <v>342.9388660029616</v>
      </c>
    </row>
    <row r="12" spans="1:6">
      <c r="A12" t="s">
        <v>120</v>
      </c>
      <c r="B12" s="7">
        <v>0.17</v>
      </c>
      <c r="C12" s="7">
        <v>0.18</v>
      </c>
      <c r="D12" s="7">
        <v>0.19</v>
      </c>
      <c r="E12" s="7">
        <v>0.2</v>
      </c>
      <c r="F12" s="7">
        <v>0.2</v>
      </c>
    </row>
    <row r="13" spans="1:6">
      <c r="A13" t="s">
        <v>121</v>
      </c>
      <c r="B13" s="3">
        <f>B11*(1-B12)</f>
        <v>185.713179373675</v>
      </c>
      <c r="C13" s="3">
        <f>C11*(1-C12)</f>
        <v>211.43184860190397</v>
      </c>
      <c r="D13" s="3">
        <f>D11*(1-D12)</f>
        <v>236.19208831245723</v>
      </c>
      <c r="E13" s="3">
        <f>E11*(1-E12)</f>
        <v>258.8217856626125</v>
      </c>
      <c r="F13" s="3">
        <f>F11*(1-F12)</f>
        <v>274.3510928023693</v>
      </c>
    </row>
    <row r="14" spans="1:6">
      <c r="A14" t="s">
        <v>122</v>
      </c>
      <c r="B14" s="7">
        <v>0.078</v>
      </c>
      <c r="C14" s="7">
        <v>0.078</v>
      </c>
      <c r="D14" s="7">
        <v>0.078</v>
      </c>
      <c r="E14" s="7">
        <v>0.078</v>
      </c>
      <c r="F14" s="7">
        <v>0.078</v>
      </c>
    </row>
    <row r="15" spans="1:6">
      <c r="A15" t="s">
        <v>123</v>
      </c>
      <c r="B15" s="3">
        <f>B6*B14</f>
        <v>100.88187193499998</v>
      </c>
      <c r="C15" s="3">
        <f>C6*C14</f>
        <v>112.9876965672</v>
      </c>
      <c r="D15" s="3">
        <f>D6*D14</f>
        <v>124.28646622392</v>
      </c>
      <c r="E15" s="3">
        <f>E6*E14</f>
        <v>134.2293835218336</v>
      </c>
      <c r="F15" s="3">
        <f>F6*F14</f>
        <v>142.28314653314362</v>
      </c>
    </row>
    <row r="16" spans="1:6">
      <c r="A16" t="s">
        <v>124</v>
      </c>
      <c r="B16" s="7">
        <v>0.3</v>
      </c>
      <c r="C16" s="7">
        <v>0.3</v>
      </c>
      <c r="D16" s="7">
        <v>0.3</v>
      </c>
      <c r="E16" s="7">
        <v>0.3</v>
      </c>
      <c r="F16" s="7">
        <v>0.3</v>
      </c>
    </row>
    <row r="17" spans="1:6">
      <c r="A17" t="s">
        <v>125</v>
      </c>
      <c r="B17" s="3">
        <f>(B6-$B$2)*B16</f>
        <v>27.070269749999987</v>
      </c>
      <c r="C17" s="3">
        <f>(C6-B6)*C16</f>
        <v>46.56086397000006</v>
      </c>
      <c r="D17" s="3">
        <f>(D6-C6)*D16</f>
        <v>43.456806372</v>
      </c>
      <c r="E17" s="3">
        <f>(E6-D6)*E16</f>
        <v>38.24198960736005</v>
      </c>
      <c r="F17" s="3">
        <f>(F6-E6)*F16</f>
        <v>30.976011581961615</v>
      </c>
    </row>
    <row r="18" spans="1:6">
      <c r="A18" s="1" t="s">
        <v>126</v>
      </c>
      <c r="B18" s="3">
        <f>B13+B10-B15-B17</f>
        <v>137.94919230367495</v>
      </c>
      <c r="C18" s="3">
        <f>C13+C10-C15-C17</f>
        <v>141.69402123350392</v>
      </c>
      <c r="D18" s="3">
        <f>D13+D10-D15-D17</f>
        <v>167.24062220221714</v>
      </c>
      <c r="E18" s="3">
        <f>E13+E10-E15-E17</f>
        <v>193.04556353795329</v>
      </c>
      <c r="F18" s="3">
        <f>F13+F10-F15-F17</f>
        <v>214.1887947520705</v>
      </c>
    </row>
    <row r="19" spans="1:6">
      <c r="A19" t="s">
        <v>127</v>
      </c>
      <c r="B19" s="3">
        <f>B18/(1+$B$21)^B4</f>
        <v>124.84089801237552</v>
      </c>
      <c r="C19" s="3">
        <f>C18/(1+$B$21)^C4</f>
        <v>116.04514341107178</v>
      </c>
      <c r="D19" s="3">
        <f>D18/(1+$B$21)^D4</f>
        <v>123.95240012982724</v>
      </c>
      <c r="E19" s="3">
        <f>E18/(1+$B$21)^E4</f>
        <v>129.48239185600877</v>
      </c>
      <c r="F19" s="3">
        <f>F18/(1+$B$21)^F4</f>
        <v>130.01257411178165</v>
      </c>
    </row>
    <row r="21" spans="1:6">
      <c r="A21" t="s">
        <v>128</v>
      </c>
      <c r="B21" s="7">
        <v>0.105</v>
      </c>
    </row>
    <row r="22" spans="1:6">
      <c r="A22" t="s">
        <v>129</v>
      </c>
      <c r="B22" s="7">
        <v>0.03</v>
      </c>
    </row>
    <row r="23" spans="1:6">
      <c r="A23" t="s">
        <v>130</v>
      </c>
      <c r="B23" s="8">
        <v>21.15</v>
      </c>
    </row>
    <row r="24" spans="1:6">
      <c r="A24" t="s">
        <v>131</v>
      </c>
      <c r="B24" s="6">
        <v>458.8</v>
      </c>
    </row>
    <row r="26" spans="1:6">
      <c r="A26" t="s">
        <v>132</v>
      </c>
      <c r="B26" s="3">
        <f>F6*(1+B22)</f>
        <v>1878.867191399204</v>
      </c>
    </row>
    <row r="27" spans="1:6">
      <c r="A27" t="s">
        <v>133</v>
      </c>
      <c r="B27" s="3">
        <f>B26*F7</f>
        <v>469.716797849801</v>
      </c>
    </row>
    <row r="28" spans="1:6">
      <c r="A28" t="s">
        <v>134</v>
      </c>
      <c r="B28" s="3">
        <f>B26*F9</f>
        <v>116.48976586675066</v>
      </c>
    </row>
    <row r="29" spans="1:6">
      <c r="A29" t="s">
        <v>135</v>
      </c>
      <c r="B29" s="3">
        <f>B27-B28</f>
        <v>353.2270319830504</v>
      </c>
    </row>
    <row r="30" spans="1:6">
      <c r="A30" t="s">
        <v>136</v>
      </c>
      <c r="B30" s="3">
        <f>B26*F14</f>
        <v>146.55164092913793</v>
      </c>
    </row>
    <row r="31" spans="1:6">
      <c r="A31" t="s">
        <v>137</v>
      </c>
      <c r="B31" s="3">
        <f>F6*B22*F16</f>
        <v>16.417286138439646</v>
      </c>
    </row>
    <row r="32" spans="1:6">
      <c r="A32" t="s">
        <v>138</v>
      </c>
      <c r="B32" s="3">
        <f>B29*(1-F12)+B28-B30-B31</f>
        <v>236.10246438561347</v>
      </c>
    </row>
    <row r="33" spans="1:2">
      <c r="A33" t="s">
        <v>139</v>
      </c>
      <c r="B33" s="3">
        <f>B32/(B21-B22)</f>
        <v>3148.0328584748463</v>
      </c>
    </row>
    <row r="34" spans="1:2">
      <c r="A34" t="s">
        <v>140</v>
      </c>
      <c r="B34" s="3">
        <f>B33/(1+B21)^F4</f>
        <v>1910.8555879057176</v>
      </c>
    </row>
    <row r="35" spans="1:2">
      <c r="A35" t="s">
        <v>141</v>
      </c>
      <c r="B35" s="3">
        <f>SUM(B19:F19)</f>
        <v>624.3334075210649</v>
      </c>
    </row>
    <row r="36" spans="1:2">
      <c r="A36" s="1" t="s">
        <v>142</v>
      </c>
      <c r="B36" s="3">
        <f>B34+B35</f>
        <v>2535.188995426782</v>
      </c>
    </row>
    <row r="37" spans="1:2">
      <c r="A37" t="s">
        <v>143</v>
      </c>
      <c r="B37" s="3">
        <f>B36-B24</f>
        <v>2076.3889954267825</v>
      </c>
    </row>
    <row r="38" spans="1:2">
      <c r="A38" s="1" t="s">
        <v>144</v>
      </c>
      <c r="B38" s="9">
        <f>B37/B23</f>
        <v>98.17442058755474</v>
      </c>
    </row>
    <row r="39" spans="1:2">
      <c r="A39" t="s">
        <v>145</v>
      </c>
      <c r="B39" s="4">
        <f>B34/B36</f>
        <v>0.753732992432794</v>
      </c>
    </row>
    <row r="41" spans="1:2">
      <c r="A41" s="2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6" width="17.7109375" customWidth="1"/>
  </cols>
  <sheetData>
    <row r="1" spans="1:6">
      <c r="A1" s="5" t="s">
        <v>148</v>
      </c>
    </row>
    <row r="2" spans="1:6">
      <c r="A2" t="s">
        <v>112</v>
      </c>
      <c r="B2" s="6">
        <v>1203.1231</v>
      </c>
    </row>
    <row r="4" spans="1:6">
      <c r="A4" s="1" t="s">
        <v>113</v>
      </c>
      <c r="B4" s="6">
        <v>1</v>
      </c>
      <c r="C4" s="6">
        <v>2</v>
      </c>
      <c r="D4" s="6">
        <v>3</v>
      </c>
      <c r="E4" s="6">
        <v>4</v>
      </c>
      <c r="F4" s="6">
        <v>5</v>
      </c>
    </row>
    <row r="5" spans="1:6">
      <c r="A5" t="s">
        <v>114</v>
      </c>
      <c r="B5" s="7">
        <v>0.15</v>
      </c>
      <c r="C5" s="7">
        <v>0.2</v>
      </c>
      <c r="D5" s="7">
        <v>0.18</v>
      </c>
      <c r="E5" s="7">
        <v>0.15</v>
      </c>
      <c r="F5" s="7">
        <v>0.12</v>
      </c>
    </row>
    <row r="6" spans="1:6">
      <c r="A6" t="s">
        <v>6</v>
      </c>
      <c r="B6" s="3">
        <f>$B$2*(1+B5)</f>
        <v>1383.5915649999995</v>
      </c>
      <c r="C6" s="3">
        <f>B6*(1+C5)</f>
        <v>1660.3098779999996</v>
      </c>
      <c r="D6" s="3">
        <f>C6*(1+D5)</f>
        <v>1959.1656560399997</v>
      </c>
      <c r="E6" s="3">
        <f>D6*(1+E5)</f>
        <v>2253.0405044459994</v>
      </c>
      <c r="F6" s="3">
        <f>E6*(1+F5)</f>
        <v>2523.40536497952</v>
      </c>
    </row>
    <row r="7" spans="1:6">
      <c r="A7" t="s">
        <v>115</v>
      </c>
      <c r="B7" s="7">
        <v>0.25</v>
      </c>
      <c r="C7" s="7">
        <v>0.265</v>
      </c>
      <c r="D7" s="7">
        <v>0.275</v>
      </c>
      <c r="E7" s="7">
        <v>0.28</v>
      </c>
      <c r="F7" s="7">
        <v>0.28</v>
      </c>
    </row>
    <row r="8" spans="1:6">
      <c r="A8" t="s">
        <v>116</v>
      </c>
      <c r="B8" s="3">
        <f>B6*B7</f>
        <v>345.89789125</v>
      </c>
      <c r="C8" s="3">
        <f>C6*C7</f>
        <v>439.9821176699999</v>
      </c>
      <c r="D8" s="3">
        <f>D6*D7</f>
        <v>538.7705554109999</v>
      </c>
      <c r="E8" s="3">
        <f>E6*E7</f>
        <v>630.8513412448799</v>
      </c>
      <c r="F8" s="3">
        <f>F6*F7</f>
        <v>706.5535021942655</v>
      </c>
    </row>
    <row r="9" spans="1:6">
      <c r="A9" t="s">
        <v>117</v>
      </c>
      <c r="B9" s="7">
        <v>0.06</v>
      </c>
      <c r="C9" s="7">
        <v>0.06</v>
      </c>
      <c r="D9" s="7">
        <v>0.06</v>
      </c>
      <c r="E9" s="7">
        <v>0.06</v>
      </c>
      <c r="F9" s="7">
        <v>0.06</v>
      </c>
    </row>
    <row r="10" spans="1:6">
      <c r="A10" t="s">
        <v>118</v>
      </c>
      <c r="B10" s="3">
        <f>B6*B9</f>
        <v>83.01549389999998</v>
      </c>
      <c r="C10" s="3">
        <f>C6*C9</f>
        <v>99.61859267999998</v>
      </c>
      <c r="D10" s="3">
        <f>D6*D9</f>
        <v>117.54993936239995</v>
      </c>
      <c r="E10" s="3">
        <f>E6*E9</f>
        <v>135.18243026675995</v>
      </c>
      <c r="F10" s="3">
        <f>F6*F9</f>
        <v>151.40432189877117</v>
      </c>
    </row>
    <row r="11" spans="1:6">
      <c r="A11" t="s">
        <v>119</v>
      </c>
      <c r="B11" s="3">
        <f>B8-B10</f>
        <v>262.88239735</v>
      </c>
      <c r="C11" s="3">
        <f>C8-C10</f>
        <v>340.36352499</v>
      </c>
      <c r="D11" s="3">
        <f>D8-D10</f>
        <v>421.2206160486</v>
      </c>
      <c r="E11" s="3">
        <f>E8-E10</f>
        <v>495.6689109781199</v>
      </c>
      <c r="F11" s="3">
        <f>F8-F10</f>
        <v>555.1491802954944</v>
      </c>
    </row>
    <row r="12" spans="1:6">
      <c r="A12" t="s">
        <v>120</v>
      </c>
      <c r="B12" s="7">
        <v>0.16</v>
      </c>
      <c r="C12" s="7">
        <v>0.17</v>
      </c>
      <c r="D12" s="7">
        <v>0.18</v>
      </c>
      <c r="E12" s="7">
        <v>0.18</v>
      </c>
      <c r="F12" s="7">
        <v>0.18</v>
      </c>
    </row>
    <row r="13" spans="1:6">
      <c r="A13" t="s">
        <v>121</v>
      </c>
      <c r="B13" s="3">
        <f>B11*(1-B12)</f>
        <v>220.821213774</v>
      </c>
      <c r="C13" s="3">
        <f>C11*(1-C12)</f>
        <v>282.50172574169994</v>
      </c>
      <c r="D13" s="3">
        <f>D11*(1-D12)</f>
        <v>345.400905159852</v>
      </c>
      <c r="E13" s="3">
        <f>E11*(1-E12)</f>
        <v>406.44850700205836</v>
      </c>
      <c r="F13" s="3">
        <f>F11*(1-F12)</f>
        <v>455.22232784230545</v>
      </c>
    </row>
    <row r="14" spans="1:6">
      <c r="A14" t="s">
        <v>122</v>
      </c>
      <c r="B14" s="7">
        <v>0.08</v>
      </c>
      <c r="C14" s="7">
        <v>0.08</v>
      </c>
      <c r="D14" s="7">
        <v>0.08</v>
      </c>
      <c r="E14" s="7">
        <v>0.08</v>
      </c>
      <c r="F14" s="7">
        <v>0.08</v>
      </c>
    </row>
    <row r="15" spans="1:6">
      <c r="A15" t="s">
        <v>123</v>
      </c>
      <c r="B15" s="3">
        <f>B6*B14</f>
        <v>110.68732519999998</v>
      </c>
      <c r="C15" s="3">
        <f>C6*C14</f>
        <v>132.82479023999997</v>
      </c>
      <c r="D15" s="3">
        <f>D6*D14</f>
        <v>156.73325248319995</v>
      </c>
      <c r="E15" s="3">
        <f>E6*E14</f>
        <v>180.24324035567997</v>
      </c>
      <c r="F15" s="3">
        <f>F6*F14</f>
        <v>201.8724291983616</v>
      </c>
    </row>
    <row r="16" spans="1:6">
      <c r="A16" t="s">
        <v>124</v>
      </c>
      <c r="B16" s="7">
        <v>0.28</v>
      </c>
      <c r="C16" s="7">
        <v>0.28</v>
      </c>
      <c r="D16" s="7">
        <v>0.28</v>
      </c>
      <c r="E16" s="7">
        <v>0.28</v>
      </c>
      <c r="F16" s="7">
        <v>0.28</v>
      </c>
    </row>
    <row r="17" spans="1:6">
      <c r="A17" t="s">
        <v>125</v>
      </c>
      <c r="B17" s="3">
        <f>(B6-$B$2)*B16</f>
        <v>50.531170199999984</v>
      </c>
      <c r="C17" s="3">
        <f>(C6-B6)*C16</f>
        <v>77.48112763999997</v>
      </c>
      <c r="D17" s="3">
        <f>(D6-C6)*D16</f>
        <v>83.67961785119998</v>
      </c>
      <c r="E17" s="3">
        <f>(E6-D6)*E16</f>
        <v>82.28495755368</v>
      </c>
      <c r="F17" s="3">
        <f>(F6-E6)*F16</f>
        <v>75.70216094938566</v>
      </c>
    </row>
    <row r="18" spans="1:6">
      <c r="A18" s="1" t="s">
        <v>126</v>
      </c>
      <c r="B18" s="3">
        <f>B13+B10-B15-B17</f>
        <v>142.618212274</v>
      </c>
      <c r="C18" s="3">
        <f>C13+C10-C15-C17</f>
        <v>171.81440054170002</v>
      </c>
      <c r="D18" s="3">
        <f>D13+D10-D15-D17</f>
        <v>222.537974187852</v>
      </c>
      <c r="E18" s="3">
        <f>E13+E10-E15-E17</f>
        <v>279.1027393594584</v>
      </c>
      <c r="F18" s="3">
        <f>F13+F10-F15-F17</f>
        <v>329.0520595933293</v>
      </c>
    </row>
    <row r="19" spans="1:6">
      <c r="A19" t="s">
        <v>127</v>
      </c>
      <c r="B19" s="3">
        <f>B18/(1+$B$21)^B4</f>
        <v>130.24494271598175</v>
      </c>
      <c r="C19" s="3">
        <f>C18/(1+$B$21)^C4</f>
        <v>143.29509438226896</v>
      </c>
      <c r="D19" s="3">
        <f>D18/(1+$B$21)^D4</f>
        <v>169.49690511504983</v>
      </c>
      <c r="E19" s="3">
        <f>E18/(1+$B$21)^E4</f>
        <v>194.1366907393033</v>
      </c>
      <c r="F19" s="3">
        <f>F18/(1+$B$21)^F4</f>
        <v>209.02297157165853</v>
      </c>
    </row>
    <row r="21" spans="1:6">
      <c r="A21" t="s">
        <v>128</v>
      </c>
      <c r="B21" s="7">
        <v>0.095</v>
      </c>
    </row>
    <row r="22" spans="1:6">
      <c r="A22" t="s">
        <v>129</v>
      </c>
      <c r="B22" s="7">
        <v>0.035</v>
      </c>
    </row>
    <row r="23" spans="1:6">
      <c r="A23" t="s">
        <v>130</v>
      </c>
      <c r="B23" s="8">
        <v>21.15</v>
      </c>
    </row>
    <row r="24" spans="1:6">
      <c r="A24" t="s">
        <v>131</v>
      </c>
      <c r="B24" s="6">
        <v>458.8</v>
      </c>
    </row>
    <row r="26" spans="1:6">
      <c r="A26" t="s">
        <v>132</v>
      </c>
      <c r="B26" s="3">
        <f>F6*(1+B22)</f>
        <v>2611.724552753803</v>
      </c>
    </row>
    <row r="27" spans="1:6">
      <c r="A27" t="s">
        <v>133</v>
      </c>
      <c r="B27" s="3">
        <f>B26*F7</f>
        <v>731.2828747710649</v>
      </c>
    </row>
    <row r="28" spans="1:6">
      <c r="A28" t="s">
        <v>134</v>
      </c>
      <c r="B28" s="3">
        <f>B26*F9</f>
        <v>156.70347316522816</v>
      </c>
    </row>
    <row r="29" spans="1:6">
      <c r="A29" t="s">
        <v>135</v>
      </c>
      <c r="B29" s="3">
        <f>B27-B28</f>
        <v>574.5794016058368</v>
      </c>
    </row>
    <row r="30" spans="1:6">
      <c r="A30" t="s">
        <v>136</v>
      </c>
      <c r="B30" s="3">
        <f>B26*F14</f>
        <v>208.93796422030425</v>
      </c>
    </row>
    <row r="31" spans="1:6">
      <c r="A31" t="s">
        <v>137</v>
      </c>
      <c r="B31" s="3">
        <f>F6*B22*F16</f>
        <v>24.7293725767993</v>
      </c>
    </row>
    <row r="32" spans="1:6">
      <c r="A32" t="s">
        <v>138</v>
      </c>
      <c r="B32" s="3">
        <f>B29*(1-F12)+B28-B30-B31</f>
        <v>394.1912456849107</v>
      </c>
    </row>
    <row r="33" spans="1:2">
      <c r="A33" t="s">
        <v>139</v>
      </c>
      <c r="B33" s="3">
        <f>B32/(B21-B22)</f>
        <v>6569.854094748512</v>
      </c>
    </row>
    <row r="34" spans="1:2">
      <c r="A34" t="s">
        <v>140</v>
      </c>
      <c r="B34" s="3">
        <f>B33/(1+B21)^F4</f>
        <v>4173.353077849574</v>
      </c>
    </row>
    <row r="35" spans="1:2">
      <c r="A35" t="s">
        <v>141</v>
      </c>
      <c r="B35" s="3">
        <f>SUM(B19:F19)</f>
        <v>846.1966045242624</v>
      </c>
    </row>
    <row r="36" spans="1:2">
      <c r="A36" s="1" t="s">
        <v>142</v>
      </c>
      <c r="B36" s="3">
        <f>B34+B35</f>
        <v>5019.549682373837</v>
      </c>
    </row>
    <row r="37" spans="1:2">
      <c r="A37" t="s">
        <v>143</v>
      </c>
      <c r="B37" s="3">
        <f>B36-B24</f>
        <v>4560.749682373837</v>
      </c>
    </row>
    <row r="38" spans="1:2">
      <c r="A38" s="1" t="s">
        <v>144</v>
      </c>
      <c r="B38" s="9">
        <f>B37/B23</f>
        <v>215.63828285455492</v>
      </c>
    </row>
    <row r="39" spans="1:2">
      <c r="A39" t="s">
        <v>145</v>
      </c>
      <c r="B39" s="4">
        <f>B34/B36</f>
        <v>0.8314198169019654</v>
      </c>
    </row>
    <row r="41" spans="1:2">
      <c r="A41" s="2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2" width="17.7109375" customWidth="1"/>
  </cols>
  <sheetData>
    <row r="1" spans="1:12" ht="32" customHeight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54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</row>
    <row r="2" spans="1:12">
      <c r="A2" t="s">
        <v>160</v>
      </c>
      <c r="B2" s="3">
        <f>'DCF Downside'!B35</f>
        <v>415.4268391555711</v>
      </c>
      <c r="C2" s="3">
        <f>'DCF Downside'!B34</f>
        <v>774.5713311560146</v>
      </c>
      <c r="D2" s="3">
        <f>'DCF Downside'!B36</f>
        <v>1189.9981703115857</v>
      </c>
      <c r="E2" s="3">
        <f>'DCF Downside'!B37</f>
        <v>731.1981703115857</v>
      </c>
      <c r="F2" s="3">
        <f>'DCF Downside'!B38</f>
        <v>34.57201750882202</v>
      </c>
      <c r="G2" s="4">
        <v>0.6509012790777678</v>
      </c>
      <c r="H2" s="3">
        <v>136.5059343507956</v>
      </c>
      <c r="I2" s="4">
        <v>0.12</v>
      </c>
      <c r="J2" s="4">
        <v>0.02</v>
      </c>
      <c r="K2" s="4">
        <v>-0.8625531049623424</v>
      </c>
      <c r="L2" s="3">
        <v>1203.1231</v>
      </c>
    </row>
    <row r="3" spans="1:12">
      <c r="A3" t="s">
        <v>161</v>
      </c>
      <c r="B3" s="3">
        <f>'DCF Base'!B35</f>
        <v>624.3334075210649</v>
      </c>
      <c r="C3" s="3">
        <f>'DCF Base'!B34</f>
        <v>1910.8555879057176</v>
      </c>
      <c r="D3" s="3">
        <f>'DCF Base'!B36</f>
        <v>2535.188995426782</v>
      </c>
      <c r="E3" s="3">
        <f>'DCF Base'!B37</f>
        <v>2076.3889954267825</v>
      </c>
      <c r="F3" s="3">
        <f>'DCF Base'!B38</f>
        <v>98.17442058755474</v>
      </c>
      <c r="G3" s="4">
        <v>0.753732992432794</v>
      </c>
      <c r="H3" s="3">
        <v>236.1024643856135</v>
      </c>
      <c r="I3" s="4">
        <v>0.105</v>
      </c>
      <c r="J3" s="4">
        <v>0.03</v>
      </c>
      <c r="K3" s="4">
        <v>-0.6096910086766798</v>
      </c>
      <c r="L3" s="3">
        <v>1203.1231</v>
      </c>
    </row>
    <row r="4" spans="1:12">
      <c r="A4" t="s">
        <v>162</v>
      </c>
      <c r="B4" s="3">
        <f>'DCF Upside'!B35</f>
        <v>846.1966045242624</v>
      </c>
      <c r="C4" s="3">
        <f>'DCF Upside'!B34</f>
        <v>4173.353077849574</v>
      </c>
      <c r="D4" s="3">
        <f>'DCF Upside'!B36</f>
        <v>5019.549682373837</v>
      </c>
      <c r="E4" s="3">
        <f>'DCF Upside'!B37</f>
        <v>4560.749682373837</v>
      </c>
      <c r="F4" s="3">
        <f>'DCF Upside'!B38</f>
        <v>215.63828285455492</v>
      </c>
      <c r="G4" s="4">
        <v>0.8314198169019654</v>
      </c>
      <c r="H4" s="3">
        <v>394.1912456849107</v>
      </c>
      <c r="I4" s="4">
        <v>0.095</v>
      </c>
      <c r="J4" s="4">
        <v>0.035</v>
      </c>
      <c r="K4" s="4">
        <v>-0.1426935838486266</v>
      </c>
      <c r="L4" s="3">
        <v>1203.1231</v>
      </c>
    </row>
  </sheetData>
  <autoFilter ref="A1:L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17.7109375" customWidth="1"/>
  </cols>
  <sheetData>
    <row r="1" spans="1:6">
      <c r="A1" s="1" t="s">
        <v>163</v>
      </c>
      <c r="B1" s="4">
        <v>0.02</v>
      </c>
      <c r="C1" s="4">
        <v>0.025</v>
      </c>
      <c r="D1" s="4">
        <v>0.03</v>
      </c>
      <c r="E1" s="4">
        <v>0.035</v>
      </c>
      <c r="F1" s="4">
        <v>0.04</v>
      </c>
    </row>
    <row r="2" spans="1:6">
      <c r="A2" s="4">
        <v>0.08500000000000001</v>
      </c>
      <c r="B2" s="9">
        <f>('DCF Base'!B18/(1+$A2)^1+'DCF Base'!C18/(1+$A2)^2+'DCF Base'!D18/(1+$A2)^3+'DCF Base'!E18/(1+$A2)^4+'DCF Base'!F18/(1+$A2)^5+('DCF Base'!F6*(1+B$1)*(('DCF Base'!F7-'DCF Base'!F9)*(1-'DCF Base'!F12)+'DCF Base'!F9-'DCF Base'!F14)-'DCF Base'!F6*B$1*'DCF Base'!F16)/($A2-B$1)/(1+$A2)^5-'DCF Base'!B24)/'DCF Base'!B23</f>
        <v>125.19918295111609</v>
      </c>
      <c r="C2" s="9">
        <f>('DCF Base'!B18/(1+$A2)^1+'DCF Base'!C18/(1+$A2)^2+'DCF Base'!D18/(1+$A2)^3+'DCF Base'!E18/(1+$A2)^4+'DCF Base'!F18/(1+$A2)^5+('DCF Base'!F6*(1+C$1)*(('DCF Base'!F7-'DCF Base'!F9)*(1-'DCF Base'!F12)+'DCF Base'!F9-'DCF Base'!F14)-'DCF Base'!F6*C$1*'DCF Base'!F16)/($A2-C$1)/(1+$A2)^5-'DCF Base'!B24)/'DCF Base'!B23</f>
        <v>134.04743435837057</v>
      </c>
      <c r="D2" s="9">
        <f>('DCF Base'!B18/(1+$A2)^1+'DCF Base'!C18/(1+$A2)^2+'DCF Base'!D18/(1+$A2)^3+'DCF Base'!E18/(1+$A2)^4+'DCF Base'!F18/(1+$A2)^5+('DCF Base'!F6*(1+D$1)*(('DCF Base'!F7-'DCF Base'!F9)*(1-'DCF Base'!F12)+'DCF Base'!F9-'DCF Base'!F14)-'DCF Base'!F6*D$1*'DCF Base'!F16)/($A2-D$1)/(1+$A2)^5-'DCF Base'!B24)/'DCF Base'!B23</f>
        <v>144.5044587487622</v>
      </c>
      <c r="E2" s="9">
        <f>('DCF Base'!B18/(1+$A2)^1+'DCF Base'!C18/(1+$A2)^2+'DCF Base'!D18/(1+$A2)^3+'DCF Base'!E18/(1+$A2)^4+'DCF Base'!F18/(1+$A2)^5+('DCF Base'!F6*(1+E$1)*(('DCF Base'!F7-'DCF Base'!F9)*(1-'DCF Base'!F12)+'DCF Base'!F9-'DCF Base'!F14)-'DCF Base'!F6*E$1*'DCF Base'!F16)/($A2-E$1)/(1+$A2)^5-'DCF Base'!B24)/'DCF Base'!B23</f>
        <v>157.05288801723214</v>
      </c>
      <c r="F2" s="9">
        <f>('DCF Base'!B18/(1+$A2)^1+'DCF Base'!C18/(1+$A2)^2+'DCF Base'!D18/(1+$A2)^3+'DCF Base'!E18/(1+$A2)^4+'DCF Base'!F18/(1+$A2)^5+('DCF Base'!F6*(1+F$1)*(('DCF Base'!F7-'DCF Base'!F9)*(1-'DCF Base'!F12)+'DCF Base'!F9-'DCF Base'!F14)-'DCF Base'!F6*F$1*'DCF Base'!F16)/($A2-F$1)/(1+$A2)^5-'DCF Base'!B24)/'DCF Base'!B23</f>
        <v>172.38985712313993</v>
      </c>
    </row>
    <row r="3" spans="1:6">
      <c r="A3" s="4">
        <v>0.095</v>
      </c>
      <c r="B3" s="9">
        <f>('DCF Base'!B18/(1+$A3)^1+'DCF Base'!C18/(1+$A3)^2+'DCF Base'!D18/(1+$A3)^3+'DCF Base'!E18/(1+$A3)^4+'DCF Base'!F18/(1+$A3)^5+('DCF Base'!F6*(1+B$1)*(('DCF Base'!F7-'DCF Base'!F9)*(1-'DCF Base'!F12)+'DCF Base'!F9-'DCF Base'!F14)-'DCF Base'!F6*B$1*'DCF Base'!F16)/($A3-B$1)/(1+$A3)^5-'DCF Base'!B24)/'DCF Base'!B23</f>
        <v>104.41483140310334</v>
      </c>
      <c r="C3" s="9">
        <f>('DCF Base'!B18/(1+$A3)^1+'DCF Base'!C18/(1+$A3)^2+'DCF Base'!D18/(1+$A3)^3+'DCF Base'!E18/(1+$A3)^4+'DCF Base'!F18/(1+$A3)^5+('DCF Base'!F6*(1+C$1)*(('DCF Base'!F7-'DCF Base'!F9)*(1-'DCF Base'!F12)+'DCF Base'!F9-'DCF Base'!F14)-'DCF Base'!F6*C$1*'DCF Base'!F16)/($A3-C$1)/(1+$A3)^5-'DCF Base'!B24)/'DCF Base'!B23</f>
        <v>110.60670688947332</v>
      </c>
      <c r="D3" s="9">
        <f>('DCF Base'!B18/(1+$A3)^1+'DCF Base'!C18/(1+$A3)^2+'DCF Base'!D18/(1+$A3)^3+'DCF Base'!E18/(1+$A3)^4+'DCF Base'!F18/(1+$A3)^5+('DCF Base'!F6*(1+D$1)*(('DCF Base'!F7-'DCF Base'!F9)*(1-'DCF Base'!F12)+'DCF Base'!F9-'DCF Base'!F14)-'DCF Base'!F6*D$1*'DCF Base'!F16)/($A3-D$1)/(1+$A3)^5-'DCF Base'!B24)/'DCF Base'!B23</f>
        <v>117.75117860451554</v>
      </c>
      <c r="E3" s="9">
        <f>('DCF Base'!B18/(1+$A3)^1+'DCF Base'!C18/(1+$A3)^2+'DCF Base'!D18/(1+$A3)^3+'DCF Base'!E18/(1+$A3)^4+'DCF Base'!F18/(1+$A3)^5+('DCF Base'!F6*(1+E$1)*(('DCF Base'!F7-'DCF Base'!F9)*(1-'DCF Base'!F12)+'DCF Base'!F9-'DCF Base'!F14)-'DCF Base'!F6*E$1*'DCF Base'!F16)/($A3-E$1)/(1+$A3)^5-'DCF Base'!B24)/'DCF Base'!B23</f>
        <v>126.08639560539817</v>
      </c>
      <c r="F3" s="9">
        <f>('DCF Base'!B18/(1+$A3)^1+'DCF Base'!C18/(1+$A3)^2+'DCF Base'!D18/(1+$A3)^3+'DCF Base'!E18/(1+$A3)^4+'DCF Base'!F18/(1+$A3)^5+('DCF Base'!F6*(1+F$1)*(('DCF Base'!F7-'DCF Base'!F9)*(1-'DCF Base'!F12)+'DCF Base'!F9-'DCF Base'!F14)-'DCF Base'!F6*F$1*'DCF Base'!F16)/($A3-F$1)/(1+$A3)^5-'DCF Base'!B24)/'DCF Base'!B23</f>
        <v>135.9371066064413</v>
      </c>
    </row>
    <row r="4" spans="1:6">
      <c r="A4" s="4">
        <v>0.105</v>
      </c>
      <c r="B4" s="9">
        <f>('DCF Base'!B18/(1+$A4)^1+'DCF Base'!C18/(1+$A4)^2+'DCF Base'!D18/(1+$A4)^3+'DCF Base'!E18/(1+$A4)^4+'DCF Base'!F18/(1+$A4)^5+('DCF Base'!F6*(1+B$1)*(('DCF Base'!F7-'DCF Base'!F9)*(1-'DCF Base'!F12)+'DCF Base'!F9-'DCF Base'!F14)-'DCF Base'!F6*B$1*'DCF Base'!F16)/($A4-B$1)/(1+$A4)^5-'DCF Base'!B24)/'DCF Base'!B23</f>
        <v>88.56521888121233</v>
      </c>
      <c r="C4" s="9">
        <f>('DCF Base'!B18/(1+$A4)^1+'DCF Base'!C18/(1+$A4)^2+'DCF Base'!D18/(1+$A4)^3+'DCF Base'!E18/(1+$A4)^4+'DCF Base'!F18/(1+$A4)^5+('DCF Base'!F6*(1+C$1)*(('DCF Base'!F7-'DCF Base'!F9)*(1-'DCF Base'!F12)+'DCF Base'!F9-'DCF Base'!F14)-'DCF Base'!F6*C$1*'DCF Base'!F16)/($A4-C$1)/(1+$A4)^5-'DCF Base'!B24)/'DCF Base'!B23</f>
        <v>93.06953218106032</v>
      </c>
      <c r="D4" s="9">
        <f>('DCF Base'!B18/(1+$A4)^1+'DCF Base'!C18/(1+$A4)^2+'DCF Base'!D18/(1+$A4)^3+'DCF Base'!E18/(1+$A4)^4+'DCF Base'!F18/(1+$A4)^5+('DCF Base'!F6*(1+D$1)*(('DCF Base'!F7-'DCF Base'!F9)*(1-'DCF Base'!F12)+'DCF Base'!F9-'DCF Base'!F14)-'DCF Base'!F6*D$1*'DCF Base'!F16)/($A4-D$1)/(1+$A4)^5-'DCF Base'!B24)/'DCF Base'!B23</f>
        <v>98.17442058755474</v>
      </c>
      <c r="E4" s="9">
        <f>('DCF Base'!B18/(1+$A4)^1+'DCF Base'!C18/(1+$A4)^2+'DCF Base'!D18/(1+$A4)^3+'DCF Base'!E18/(1+$A4)^4+'DCF Base'!F18/(1+$A4)^5+('DCF Base'!F6*(1+E$1)*(('DCF Base'!F7-'DCF Base'!F9)*(1-'DCF Base'!F12)+'DCF Base'!F9-'DCF Base'!F14)-'DCF Base'!F6*E$1*'DCF Base'!F16)/($A4-E$1)/(1+$A4)^5-'DCF Base'!B24)/'DCF Base'!B23</f>
        <v>104.00857876640546</v>
      </c>
      <c r="F4" s="9">
        <f>('DCF Base'!B18/(1+$A4)^1+'DCF Base'!C18/(1+$A4)^2+'DCF Base'!D18/(1+$A4)^3+'DCF Base'!E18/(1+$A4)^4+'DCF Base'!F18/(1+$A4)^5+('DCF Base'!F6*(1+F$1)*(('DCF Base'!F7-'DCF Base'!F9)*(1-'DCF Base'!F12)+'DCF Base'!F9-'DCF Base'!F14)-'DCF Base'!F6*F$1*'DCF Base'!F16)/($A4-F$1)/(1+$A4)^5-'DCF Base'!B24)/'DCF Base'!B23</f>
        <v>110.7402997420025</v>
      </c>
    </row>
    <row r="5" spans="1:6">
      <c r="A5" s="4">
        <v>0.115</v>
      </c>
      <c r="B5" s="9">
        <f>('DCF Base'!B18/(1+$A5)^1+'DCF Base'!C18/(1+$A5)^2+'DCF Base'!D18/(1+$A5)^3+'DCF Base'!E18/(1+$A5)^4+'DCF Base'!F18/(1+$A5)^5+('DCF Base'!F6*(1+B$1)*(('DCF Base'!F7-'DCF Base'!F9)*(1-'DCF Base'!F12)+'DCF Base'!F9-'DCF Base'!F14)-'DCF Base'!F6*B$1*'DCF Base'!F16)/($A5-B$1)/(1+$A5)^5-'DCF Base'!B24)/'DCF Base'!B23</f>
        <v>76.08991986881915</v>
      </c>
      <c r="C5" s="9">
        <f>('DCF Base'!B18/(1+$A5)^1+'DCF Base'!C18/(1+$A5)^2+'DCF Base'!D18/(1+$A5)^3+'DCF Base'!E18/(1+$A5)^4+'DCF Base'!F18/(1+$A5)^5+('DCF Base'!F6*(1+C$1)*(('DCF Base'!F7-'DCF Base'!F9)*(1-'DCF Base'!F12)+'DCF Base'!F9-'DCF Base'!F14)-'DCF Base'!F6*C$1*'DCF Base'!F16)/($A5-C$1)/(1+$A5)^5-'DCF Base'!B24)/'DCF Base'!B23</f>
        <v>79.46604261158609</v>
      </c>
      <c r="D5" s="9">
        <f>('DCF Base'!B18/(1+$A5)^1+'DCF Base'!C18/(1+$A5)^2+'DCF Base'!D18/(1+$A5)^3+'DCF Base'!E18/(1+$A5)^4+'DCF Base'!F18/(1+$A5)^5+('DCF Base'!F6*(1+D$1)*(('DCF Base'!F7-'DCF Base'!F9)*(1-'DCF Base'!F12)+'DCF Base'!F9-'DCF Base'!F14)-'DCF Base'!F6*D$1*'DCF Base'!F16)/($A5-D$1)/(1+$A5)^5-'DCF Base'!B24)/'DCF Base'!B23</f>
        <v>83.23935626526682</v>
      </c>
      <c r="E5" s="9">
        <f>('DCF Base'!B18/(1+$A5)^1+'DCF Base'!C18/(1+$A5)^2+'DCF Base'!D18/(1+$A5)^3+'DCF Base'!E18/(1+$A5)^4+'DCF Base'!F18/(1+$A5)^5+('DCF Base'!F6*(1+E$1)*(('DCF Base'!F7-'DCF Base'!F9)*(1-'DCF Base'!F12)+'DCF Base'!F9-'DCF Base'!F14)-'DCF Base'!F6*E$1*'DCF Base'!F16)/($A5-E$1)/(1+$A5)^5-'DCF Base'!B24)/'DCF Base'!B23</f>
        <v>87.48433412565755</v>
      </c>
      <c r="F5" s="9">
        <f>('DCF Base'!B18/(1+$A5)^1+'DCF Base'!C18/(1+$A5)^2+'DCF Base'!D18/(1+$A5)^3+'DCF Base'!E18/(1+$A5)^4+'DCF Base'!F18/(1+$A5)^5+('DCF Base'!F6*(1+F$1)*(('DCF Base'!F7-'DCF Base'!F9)*(1-'DCF Base'!F12)+'DCF Base'!F9-'DCF Base'!F14)-'DCF Base'!F6*F$1*'DCF Base'!F16)/($A5-F$1)/(1+$A5)^5-'DCF Base'!B24)/'DCF Base'!B23</f>
        <v>92.29530903410048</v>
      </c>
    </row>
    <row r="6" spans="1:6">
      <c r="A6" s="4">
        <v>0.125</v>
      </c>
      <c r="B6" s="9">
        <f>('DCF Base'!B18/(1+$A6)^1+'DCF Base'!C18/(1+$A6)^2+'DCF Base'!D18/(1+$A6)^3+'DCF Base'!E18/(1+$A6)^4+'DCF Base'!F18/(1+$A6)^5+('DCF Base'!F6*(1+B$1)*(('DCF Base'!F7-'DCF Base'!F9)*(1-'DCF Base'!F12)+'DCF Base'!F9-'DCF Base'!F14)-'DCF Base'!F6*B$1*'DCF Base'!F16)/($A6-B$1)/(1+$A6)^5-'DCF Base'!B24)/'DCF Base'!B23</f>
        <v>66.02307470958374</v>
      </c>
      <c r="C6" s="9">
        <f>('DCF Base'!B18/(1+$A6)^1+'DCF Base'!C18/(1+$A6)^2+'DCF Base'!D18/(1+$A6)^3+'DCF Base'!E18/(1+$A6)^4+'DCF Base'!F18/(1+$A6)^5+('DCF Base'!F6*(1+C$1)*(('DCF Base'!F7-'DCF Base'!F9)*(1-'DCF Base'!F12)+'DCF Base'!F9-'DCF Base'!F14)-'DCF Base'!F6*C$1*'DCF Base'!F16)/($A6-C$1)/(1+$A6)^5-'DCF Base'!B24)/'DCF Base'!B23</f>
        <v>68.61443049358529</v>
      </c>
      <c r="D6" s="9">
        <f>('DCF Base'!B18/(1+$A6)^1+'DCF Base'!C18/(1+$A6)^2+'DCF Base'!D18/(1+$A6)^3+'DCF Base'!E18/(1+$A6)^4+'DCF Base'!F18/(1+$A6)^5+('DCF Base'!F6*(1+D$1)*(('DCF Base'!F7-'DCF Base'!F9)*(1-'DCF Base'!F12)+'DCF Base'!F9-'DCF Base'!F14)-'DCF Base'!F6*D$1*'DCF Base'!F16)/($A6-D$1)/(1+$A6)^5-'DCF Base'!B24)/'DCF Base'!B23</f>
        <v>71.47856057063962</v>
      </c>
      <c r="E6" s="9">
        <f>('DCF Base'!B18/(1+$A6)^1+'DCF Base'!C18/(1+$A6)^2+'DCF Base'!D18/(1+$A6)^3+'DCF Base'!E18/(1+$A6)^4+'DCF Base'!F18/(1+$A6)^5+('DCF Base'!F6*(1+E$1)*(('DCF Base'!F7-'DCF Base'!F9)*(1-'DCF Base'!F12)+'DCF Base'!F9-'DCF Base'!F14)-'DCF Base'!F6*E$1*'DCF Base'!F16)/($A6-E$1)/(1+$A6)^5-'DCF Base'!B24)/'DCF Base'!B23</f>
        <v>74.66092732292219</v>
      </c>
      <c r="F6" s="9">
        <f>('DCF Base'!B18/(1+$A6)^1+'DCF Base'!C18/(1+$A6)^2+'DCF Base'!D18/(1+$A6)^3+'DCF Base'!E18/(1+$A6)^4+'DCF Base'!F18/(1+$A6)^5+('DCF Base'!F6*(1+F$1)*(('DCF Base'!F7-'DCF Base'!F9)*(1-'DCF Base'!F12)+'DCF Base'!F9-'DCF Base'!F14)-'DCF Base'!F6*F$1*'DCF Base'!F16)/($A6-F$1)/(1+$A6)^5-'DCF Base'!B24)/'DCF Base'!B23</f>
        <v>78.21769016370865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6" width="17.7109375" customWidth="1"/>
  </cols>
  <sheetData>
    <row r="1" spans="1:26" ht="32" customHeight="1">
      <c r="A1" s="1" t="s">
        <v>149</v>
      </c>
      <c r="B1" s="1" t="s">
        <v>164</v>
      </c>
      <c r="C1" s="1" t="s">
        <v>165</v>
      </c>
      <c r="D1" s="1" t="s">
        <v>166</v>
      </c>
      <c r="E1" s="1" t="s">
        <v>76</v>
      </c>
      <c r="F1" s="1" t="s">
        <v>32</v>
      </c>
      <c r="G1" s="1" t="s">
        <v>31</v>
      </c>
      <c r="H1" s="1" t="s">
        <v>167</v>
      </c>
      <c r="I1" s="1" t="s">
        <v>168</v>
      </c>
      <c r="J1" s="1" t="s">
        <v>73</v>
      </c>
      <c r="K1" s="1" t="s">
        <v>40</v>
      </c>
      <c r="L1" s="1" t="s">
        <v>169</v>
      </c>
      <c r="M1" s="1" t="s">
        <v>170</v>
      </c>
      <c r="N1" s="1" t="s">
        <v>35</v>
      </c>
      <c r="O1" s="1" t="s">
        <v>36</v>
      </c>
      <c r="P1" s="1" t="s">
        <v>171</v>
      </c>
      <c r="Q1" s="1" t="s">
        <v>172</v>
      </c>
      <c r="R1" s="1" t="s">
        <v>48</v>
      </c>
      <c r="S1" s="1" t="s">
        <v>69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</row>
    <row r="2" spans="1:26">
      <c r="A2" t="s">
        <v>160</v>
      </c>
      <c r="B2" s="3">
        <v>1203.1231</v>
      </c>
      <c r="C2" s="3">
        <f>B2*(1+D2)</f>
        <v>1203.1230999999998</v>
      </c>
      <c r="D2" s="4">
        <v>0</v>
      </c>
      <c r="E2" s="4">
        <v>0.31</v>
      </c>
      <c r="F2" s="3">
        <f>C2*E2</f>
        <v>372.968161</v>
      </c>
      <c r="G2" s="3">
        <f>C2/0.55</f>
        <v>2187.496545454545</v>
      </c>
      <c r="H2" s="4">
        <f>E2*0.55</f>
        <v>0.1705</v>
      </c>
      <c r="I2" s="4">
        <v>0.2</v>
      </c>
      <c r="J2" s="3">
        <f>C2*I2</f>
        <v>240.62462</v>
      </c>
      <c r="K2" s="3">
        <v>80</v>
      </c>
      <c r="L2" s="3">
        <f>J2-K2</f>
        <v>160.62461999999996</v>
      </c>
      <c r="M2" s="4">
        <f>L2/G2</f>
        <v>0.0734285136741203</v>
      </c>
      <c r="N2" s="4">
        <v>0.18</v>
      </c>
      <c r="O2" s="3">
        <v>30</v>
      </c>
      <c r="P2" s="3">
        <v>10</v>
      </c>
      <c r="Q2" s="3">
        <f>(L2+P2-O2)*(1-N2)</f>
        <v>115.31218839999998</v>
      </c>
      <c r="R2" s="3">
        <f>Q2/21.15</f>
        <v>5.452112926713948</v>
      </c>
      <c r="S2" s="3">
        <v>100</v>
      </c>
      <c r="T2" s="4">
        <v>0.3</v>
      </c>
      <c r="U2" s="3">
        <f>(C2-B2)*T2</f>
        <v>0.0</v>
      </c>
      <c r="V2" s="3">
        <f>L2*(1-N2)+K2-S2-U2</f>
        <v>111.71218839999996</v>
      </c>
      <c r="W2" s="3">
        <f>V2-O2*(1-N2)</f>
        <v>87.11218839999998</v>
      </c>
      <c r="X2" s="3">
        <v>20</v>
      </c>
      <c r="Y2" s="3">
        <f>R2*X2</f>
        <v>109.04225853427896</v>
      </c>
      <c r="Z2" s="4">
        <f>Y2/251.53-1</f>
        <v>-0.5664840832732518</v>
      </c>
    </row>
    <row r="3" spans="1:26">
      <c r="A3" t="s">
        <v>161</v>
      </c>
      <c r="B3" s="3">
        <v>1203.1231</v>
      </c>
      <c r="C3" s="3">
        <f>B3*(1+D3)</f>
        <v>1323.4354099999998</v>
      </c>
      <c r="D3" s="4">
        <v>0.1</v>
      </c>
      <c r="E3" s="4">
        <v>0.36</v>
      </c>
      <c r="F3" s="3">
        <f>C3*E3</f>
        <v>476.43674759999993</v>
      </c>
      <c r="G3" s="3">
        <f>C3/0.55</f>
        <v>2406.2462</v>
      </c>
      <c r="H3" s="4">
        <f>E3*0.55</f>
        <v>0.198</v>
      </c>
      <c r="I3" s="4">
        <v>0.24</v>
      </c>
      <c r="J3" s="3">
        <f>C3*I3</f>
        <v>317.62449839999994</v>
      </c>
      <c r="K3" s="3">
        <v>82</v>
      </c>
      <c r="L3" s="3">
        <f>J3-K3</f>
        <v>235.62449839999996</v>
      </c>
      <c r="M3" s="4">
        <f>L3/G3</f>
        <v>0.0979220241054302</v>
      </c>
      <c r="N3" s="4">
        <v>0.17</v>
      </c>
      <c r="O3" s="3">
        <v>28</v>
      </c>
      <c r="P3" s="3">
        <v>10</v>
      </c>
      <c r="Q3" s="3">
        <f>(L3+P3-O3)*(1-N3)</f>
        <v>180.62833367199997</v>
      </c>
      <c r="R3" s="3">
        <f>Q3/21.15</f>
        <v>8.540346745721038</v>
      </c>
      <c r="S3" s="3">
        <v>110</v>
      </c>
      <c r="T3" s="4">
        <v>0.3</v>
      </c>
      <c r="U3" s="3">
        <f>(C3-B3)*T3</f>
        <v>36.09369300000001</v>
      </c>
      <c r="V3" s="3">
        <f>L3*(1-N3)+K3-S3-U3</f>
        <v>131.47464067199994</v>
      </c>
      <c r="W3" s="3">
        <f>V3-O3*(1-N3)</f>
        <v>108.23464067199994</v>
      </c>
      <c r="X3" s="3">
        <v>24</v>
      </c>
      <c r="Y3" s="3">
        <f>R3*X3</f>
        <v>204.9683218973049</v>
      </c>
      <c r="Z3" s="4">
        <f>Y3/251.53-1</f>
        <v>-0.185113815857731</v>
      </c>
    </row>
    <row r="4" spans="1:26">
      <c r="A4" t="s">
        <v>162</v>
      </c>
      <c r="B4" s="3">
        <v>1203.1231</v>
      </c>
      <c r="C4" s="3">
        <f>B4*(1+D4)</f>
        <v>1467.8101819999997</v>
      </c>
      <c r="D4" s="4">
        <v>0.22</v>
      </c>
      <c r="E4" s="4">
        <v>0.4</v>
      </c>
      <c r="F4" s="3">
        <f>C4*E4</f>
        <v>587.1240727999999</v>
      </c>
      <c r="G4" s="3">
        <f>C4/0.55</f>
        <v>2668.7457854545446</v>
      </c>
      <c r="H4" s="4">
        <f>E4*0.55</f>
        <v>0.22</v>
      </c>
      <c r="I4" s="4">
        <v>0.27</v>
      </c>
      <c r="J4" s="3">
        <f>C4*I4</f>
        <v>396.30874914</v>
      </c>
      <c r="K4" s="3">
        <v>88</v>
      </c>
      <c r="L4" s="3">
        <f>J4-K4</f>
        <v>308.30874914</v>
      </c>
      <c r="M4" s="4">
        <f>L4/G4</f>
        <v>0.1155257090504363</v>
      </c>
      <c r="N4" s="4">
        <v>0.16</v>
      </c>
      <c r="O4" s="3">
        <v>26</v>
      </c>
      <c r="P4" s="3">
        <v>10</v>
      </c>
      <c r="Q4" s="3">
        <f>(L4+P4-O4)*(1-N4)</f>
        <v>245.5393492776</v>
      </c>
      <c r="R4" s="3">
        <f>Q4/21.15</f>
        <v>11.609425497758863</v>
      </c>
      <c r="S4" s="3">
        <v>150</v>
      </c>
      <c r="T4" s="4">
        <v>0.28</v>
      </c>
      <c r="U4" s="3">
        <f>(C4-B4)*T4</f>
        <v>74.11238295999999</v>
      </c>
      <c r="V4" s="3">
        <f>L4*(1-N4)+K4-S4-U4</f>
        <v>122.86696631759996</v>
      </c>
      <c r="W4" s="3">
        <f>V4-O4*(1-N4)</f>
        <v>101.02696631759996</v>
      </c>
      <c r="X4" s="3">
        <v>28</v>
      </c>
      <c r="Y4" s="3">
        <f>R4*X4</f>
        <v>325.06391393724823</v>
      </c>
      <c r="Z4" s="4">
        <f>Y4/251.53-1</f>
        <v>0.2923464951983787</v>
      </c>
    </row>
  </sheetData>
  <autoFilter ref="A1:Z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9" width="17.7109375" customWidth="1"/>
  </cols>
  <sheetData>
    <row r="1" spans="1:29" ht="32" customHeight="1">
      <c r="A1" s="1" t="s">
        <v>180</v>
      </c>
      <c r="B1" s="1" t="s">
        <v>181</v>
      </c>
      <c r="C1" s="1" t="s">
        <v>31</v>
      </c>
      <c r="D1" s="1" t="s">
        <v>34</v>
      </c>
      <c r="E1" s="1" t="s">
        <v>33</v>
      </c>
      <c r="F1" s="1" t="s">
        <v>32</v>
      </c>
      <c r="G1" s="1" t="s">
        <v>37</v>
      </c>
      <c r="H1" s="1" t="s">
        <v>69</v>
      </c>
      <c r="I1" s="1" t="s">
        <v>49</v>
      </c>
      <c r="J1" s="1" t="s">
        <v>71</v>
      </c>
      <c r="K1" s="1" t="s">
        <v>54</v>
      </c>
      <c r="L1" s="1" t="s">
        <v>40</v>
      </c>
      <c r="M1" s="1" t="s">
        <v>182</v>
      </c>
      <c r="N1" s="1" t="s">
        <v>68</v>
      </c>
      <c r="O1" s="1" t="s">
        <v>183</v>
      </c>
      <c r="P1" s="1" t="s">
        <v>178</v>
      </c>
      <c r="Q1" s="1" t="s">
        <v>184</v>
      </c>
      <c r="R1" s="1" t="s">
        <v>185</v>
      </c>
      <c r="S1" s="1" t="s">
        <v>70</v>
      </c>
      <c r="T1" s="1" t="s">
        <v>72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77</v>
      </c>
      <c r="AC1" s="1" t="s">
        <v>75</v>
      </c>
    </row>
    <row r="2" spans="1:29">
      <c r="A2" t="s">
        <v>193</v>
      </c>
      <c r="B2" t="s">
        <v>194</v>
      </c>
      <c r="C2" s="3">
        <v>3326.1</v>
      </c>
      <c r="D2" s="3">
        <v>305.5</v>
      </c>
      <c r="E2" s="3">
        <v>533.6999999999999</v>
      </c>
      <c r="F2" s="3">
        <v>1512.7</v>
      </c>
      <c r="G2" s="3">
        <v>780.6999999999999</v>
      </c>
      <c r="H2" s="3">
        <v>205.5</v>
      </c>
      <c r="I2" s="3">
        <v>353.6</v>
      </c>
      <c r="J2" s="3">
        <v>3456</v>
      </c>
      <c r="K2" s="3">
        <v>4156.2</v>
      </c>
      <c r="L2" s="3">
        <v>357.3000000000001</v>
      </c>
      <c r="M2" s="3">
        <v>891</v>
      </c>
      <c r="N2" s="3">
        <v>925.6</v>
      </c>
      <c r="O2" s="3">
        <v>153.4</v>
      </c>
      <c r="P2" s="3">
        <v>142.25</v>
      </c>
      <c r="Q2" s="3">
        <v>21821.15</v>
      </c>
      <c r="R2" s="3">
        <v>24923.55</v>
      </c>
      <c r="S2" s="3">
        <v>575.1999999999999</v>
      </c>
      <c r="T2" s="3">
        <v>3102.4</v>
      </c>
      <c r="U2" s="3">
        <v>71.42765957446809</v>
      </c>
      <c r="V2" s="3">
        <v>6.560581461772046</v>
      </c>
      <c r="W2" s="3">
        <v>5.250264664838074</v>
      </c>
      <c r="X2" s="3">
        <v>7.493325516370525</v>
      </c>
      <c r="Y2" s="3">
        <v>27.97255892255892</v>
      </c>
      <c r="Z2" s="3">
        <v>26.92691227312014</v>
      </c>
      <c r="AA2" s="4">
        <v>0.0263597473093764</v>
      </c>
      <c r="AB2" s="4">
        <v>0.160458194281591</v>
      </c>
      <c r="AC2" s="4">
        <v>0.4547969092931662</v>
      </c>
    </row>
    <row r="3" spans="1:29">
      <c r="A3" t="s">
        <v>195</v>
      </c>
      <c r="B3" t="s">
        <v>196</v>
      </c>
      <c r="C3" s="3">
        <v>3124.2</v>
      </c>
      <c r="D3" s="3">
        <v>529.8</v>
      </c>
      <c r="E3" s="3">
        <v>702</v>
      </c>
      <c r="F3" s="3">
        <v>955.5</v>
      </c>
      <c r="G3" s="3">
        <v>605</v>
      </c>
      <c r="H3" s="3">
        <v>242.7</v>
      </c>
      <c r="I3" s="3">
        <v>393.3</v>
      </c>
      <c r="J3" s="3">
        <v>690.7</v>
      </c>
      <c r="K3" s="3">
        <v>2227.6</v>
      </c>
      <c r="L3" s="3">
        <v>147.1</v>
      </c>
      <c r="M3" s="3">
        <v>849.1</v>
      </c>
      <c r="N3" t="s">
        <v>105</v>
      </c>
      <c r="O3" s="3">
        <v>50.4</v>
      </c>
      <c r="P3" s="3">
        <v>408.1199951171875</v>
      </c>
      <c r="Q3" s="3">
        <v>20569.24775390625</v>
      </c>
      <c r="R3" s="3">
        <v>20866.64775390625</v>
      </c>
      <c r="S3" s="3">
        <v>362.3</v>
      </c>
      <c r="T3" s="3">
        <v>297.4</v>
      </c>
      <c r="U3" s="3">
        <v>38.82455219687854</v>
      </c>
      <c r="V3" s="3">
        <v>6.583844745504849</v>
      </c>
      <c r="W3" s="3">
        <v>9.233815655371814</v>
      </c>
      <c r="X3" s="3">
        <v>6.679037114751377</v>
      </c>
      <c r="Y3" s="3">
        <v>24.57501796479361</v>
      </c>
      <c r="Z3" t="s">
        <v>105</v>
      </c>
      <c r="AA3" s="4">
        <v>0.0176136728155844</v>
      </c>
      <c r="AB3" s="4">
        <v>0.2246975225657768</v>
      </c>
      <c r="AC3" s="4">
        <v>0.3058382946034185</v>
      </c>
    </row>
    <row r="4" spans="1:29">
      <c r="A4" t="s">
        <v>197</v>
      </c>
      <c r="B4" t="s">
        <v>198</v>
      </c>
      <c r="C4" s="3">
        <v>4715.199999999999</v>
      </c>
      <c r="D4" s="3">
        <v>475.8</v>
      </c>
      <c r="E4" s="3">
        <v>716.8</v>
      </c>
      <c r="F4" s="3">
        <v>1101.4</v>
      </c>
      <c r="G4" s="3">
        <v>805.3</v>
      </c>
      <c r="H4" s="3">
        <v>279</v>
      </c>
      <c r="I4" s="3">
        <v>783</v>
      </c>
      <c r="J4" s="3">
        <v>2192</v>
      </c>
      <c r="K4" s="3">
        <v>1876.7</v>
      </c>
      <c r="L4" s="3">
        <v>174.7</v>
      </c>
      <c r="M4" s="3">
        <v>891.5</v>
      </c>
      <c r="N4" t="s">
        <v>105</v>
      </c>
      <c r="O4" s="3">
        <v>138.5</v>
      </c>
      <c r="P4" s="3">
        <v>191.6300048828125</v>
      </c>
      <c r="Q4" s="3">
        <v>26540.75567626953</v>
      </c>
      <c r="R4" s="3">
        <v>27949.75567626953</v>
      </c>
      <c r="S4" s="3">
        <v>526.3</v>
      </c>
      <c r="T4" s="3">
        <v>1409</v>
      </c>
      <c r="U4" s="3">
        <v>55.78132760880524</v>
      </c>
      <c r="V4" s="3">
        <v>5.628765625269244</v>
      </c>
      <c r="W4" s="3">
        <v>14.14224738971041</v>
      </c>
      <c r="X4" s="3">
        <v>5.927586460016444</v>
      </c>
      <c r="Y4" s="3">
        <v>31.35138045571456</v>
      </c>
      <c r="Z4" t="s">
        <v>105</v>
      </c>
      <c r="AA4" s="4">
        <v>0.0198298799936044</v>
      </c>
      <c r="AB4" s="4">
        <v>0.1520190023752969</v>
      </c>
      <c r="AC4" s="4">
        <v>0.2335850016966407</v>
      </c>
    </row>
  </sheetData>
  <autoFilter ref="A1:AC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1" width="17.7109375" customWidth="1"/>
  </cols>
  <sheetData>
    <row r="1" spans="1:11" ht="32" customHeight="1">
      <c r="A1" s="1" t="s">
        <v>180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</row>
    <row r="2" spans="1:11">
      <c r="A2" t="s">
        <v>209</v>
      </c>
      <c r="B2" t="s">
        <v>210</v>
      </c>
      <c r="C2" s="3">
        <v>251.5299987792969</v>
      </c>
      <c r="D2" s="4">
        <v>-0.0467794406114112</v>
      </c>
      <c r="E2" s="4">
        <v>-0.0847377692286593</v>
      </c>
      <c r="F2" s="4">
        <v>1.027620401827338</v>
      </c>
      <c r="G2" s="4">
        <v>1.066564760934192</v>
      </c>
      <c r="H2" s="4">
        <v>1.422802899232142</v>
      </c>
      <c r="I2" s="4">
        <v>2.622187667514372</v>
      </c>
      <c r="J2" s="4">
        <v>0.4556423650306284</v>
      </c>
      <c r="K2" s="4">
        <v>-0.4784414298970831</v>
      </c>
    </row>
    <row r="3" spans="1:11">
      <c r="A3" t="s">
        <v>211</v>
      </c>
      <c r="B3" t="s">
        <v>212</v>
      </c>
      <c r="C3" s="3">
        <v>761.6900024414062</v>
      </c>
      <c r="D3" s="4">
        <v>-0.0050408383166218</v>
      </c>
      <c r="E3" s="4">
        <v>0.0225533136648268</v>
      </c>
      <c r="F3" s="4">
        <v>0.1257029143455685</v>
      </c>
      <c r="G3" s="4">
        <v>0.1657689844423753</v>
      </c>
      <c r="H3" s="4">
        <v>0.7803247432037854</v>
      </c>
      <c r="I3" s="4">
        <v>0.8449893232736225</v>
      </c>
      <c r="J3" s="4">
        <v>0.1719516593492975</v>
      </c>
      <c r="K3" s="4">
        <v>-0.2449640593808044</v>
      </c>
    </row>
    <row r="4" spans="1:11">
      <c r="A4" t="s">
        <v>213</v>
      </c>
      <c r="B4" t="s">
        <v>214</v>
      </c>
      <c r="C4" s="3">
        <v>284.1000061035156</v>
      </c>
      <c r="D4" s="4">
        <v>-0.0512540879772449</v>
      </c>
      <c r="E4" s="4">
        <v>-0.0363611727643509</v>
      </c>
      <c r="F4" s="4">
        <v>0.1619567612629364</v>
      </c>
      <c r="G4" s="4">
        <v>0.1721388114966286</v>
      </c>
      <c r="H4" s="4">
        <v>0.6179498552091847</v>
      </c>
      <c r="I4" s="4">
        <v>0.3625180635137548</v>
      </c>
      <c r="J4" s="4">
        <v>0.2241141350057152</v>
      </c>
      <c r="K4" s="4">
        <v>-0.3191165089442227</v>
      </c>
    </row>
    <row r="5" spans="1:11">
      <c r="A5" t="s">
        <v>215</v>
      </c>
      <c r="B5" t="s">
        <v>216</v>
      </c>
      <c r="C5" s="3">
        <v>49.9900016784668</v>
      </c>
      <c r="D5" s="4">
        <v>-0.03456927661315</v>
      </c>
      <c r="E5" s="4">
        <v>-0.0315206014121407</v>
      </c>
      <c r="F5" s="4">
        <v>0.1113575314298276</v>
      </c>
      <c r="G5" s="4">
        <v>0.1202957607433019</v>
      </c>
      <c r="H5" s="4">
        <v>0.3016250722596461</v>
      </c>
      <c r="I5" s="4">
        <v>0.3573214593668288</v>
      </c>
      <c r="J5" s="4">
        <v>0.1911401649994311</v>
      </c>
      <c r="K5" s="4">
        <v>-0.2471633737343245</v>
      </c>
    </row>
    <row r="6" spans="1:11">
      <c r="A6" t="s">
        <v>193</v>
      </c>
      <c r="B6" t="s">
        <v>217</v>
      </c>
      <c r="C6" s="3">
        <v>142.25</v>
      </c>
      <c r="D6" s="4">
        <v>-0.0533706265018767</v>
      </c>
      <c r="E6" s="4">
        <v>-0.2036108797948668</v>
      </c>
      <c r="F6" s="4">
        <v>0.6924315463566231</v>
      </c>
      <c r="G6" s="4">
        <v>0.4873709428938659</v>
      </c>
      <c r="H6" s="4">
        <v>0.5502305683150195</v>
      </c>
      <c r="I6" s="4">
        <v>0.0981934371531516</v>
      </c>
      <c r="J6" s="4">
        <v>0.551907729290584</v>
      </c>
      <c r="K6" s="4">
        <v>-0.5931955944064304</v>
      </c>
    </row>
    <row r="7" spans="1:11">
      <c r="A7" t="s">
        <v>195</v>
      </c>
      <c r="B7" t="s">
        <v>218</v>
      </c>
      <c r="C7" s="3">
        <v>408.1199951171875</v>
      </c>
      <c r="D7" s="4">
        <v>-0.232477718323242</v>
      </c>
      <c r="E7" s="4">
        <v>-0.3038157584581542</v>
      </c>
      <c r="F7" s="4">
        <v>0.2981718801175193</v>
      </c>
      <c r="G7" s="4">
        <v>0.6578375899384363</v>
      </c>
      <c r="H7" s="4">
        <v>5.131598780353751</v>
      </c>
      <c r="I7" s="4">
        <v>12.69372017832034</v>
      </c>
      <c r="J7" s="4">
        <v>0.4657013978857632</v>
      </c>
      <c r="K7" s="4">
        <v>-0.4185833511654956</v>
      </c>
    </row>
    <row r="8" spans="1:11">
      <c r="A8" t="s">
        <v>197</v>
      </c>
      <c r="B8" t="s">
        <v>219</v>
      </c>
      <c r="C8" s="3">
        <v>191.6300048828125</v>
      </c>
      <c r="D8" s="4">
        <v>-0.1538019994632539</v>
      </c>
      <c r="E8" s="4">
        <v>-0.048226838341562</v>
      </c>
      <c r="F8" s="4">
        <v>0.6698327057830689</v>
      </c>
      <c r="G8" s="4">
        <v>1.381088430537484</v>
      </c>
      <c r="H8" s="4">
        <v>3.370125691016993</v>
      </c>
      <c r="I8" s="4">
        <v>10.43377101824761</v>
      </c>
      <c r="J8" s="4">
        <v>0.4291432251750656</v>
      </c>
      <c r="K8" s="4">
        <v>-0.3801506160361514</v>
      </c>
    </row>
    <row r="9" spans="1:11">
      <c r="A9" t="s">
        <v>220</v>
      </c>
      <c r="B9" t="s">
        <v>221</v>
      </c>
      <c r="C9" s="3">
        <v>26.38999938964844</v>
      </c>
      <c r="D9" s="4">
        <v>-0.0999317986245751</v>
      </c>
      <c r="E9" s="4">
        <v>-0.3574385296872987</v>
      </c>
      <c r="F9" s="4">
        <v>0.4892776756351167</v>
      </c>
      <c r="G9" s="4">
        <v>0.7091968981124352</v>
      </c>
      <c r="H9" s="4">
        <v>6.605187081285965</v>
      </c>
      <c r="I9" s="4">
        <v>7.855704436489692</v>
      </c>
      <c r="J9" s="4">
        <v>0.5430817724220273</v>
      </c>
      <c r="K9" s="4">
        <v>-0.6527330934581697</v>
      </c>
    </row>
  </sheetData>
  <autoFilter ref="A1:K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0" width="17.7109375" customWidth="1"/>
  </cols>
  <sheetData>
    <row r="1" spans="1:10" ht="32" customHeight="1">
      <c r="A1" s="1" t="s">
        <v>222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</row>
    <row r="2" spans="1:10">
      <c r="A2" t="s">
        <v>232</v>
      </c>
      <c r="B2" t="s">
        <v>233</v>
      </c>
      <c r="C2" t="s">
        <v>234</v>
      </c>
      <c r="D2" s="4">
        <v>0.3332269392981881</v>
      </c>
      <c r="E2" s="4">
        <v>0.33663092517472</v>
      </c>
      <c r="F2" s="4">
        <v>0.4403700212997938</v>
      </c>
      <c r="G2" s="4">
        <v>0.4287682971444406</v>
      </c>
      <c r="H2" s="4">
        <v>0.4515305822171769</v>
      </c>
      <c r="I2" s="4">
        <v>0.4390945574812777</v>
      </c>
      <c r="J2" s="3">
        <v>0.0492707571502428</v>
      </c>
    </row>
    <row r="3" spans="1:10">
      <c r="A3" t="s">
        <v>235</v>
      </c>
      <c r="B3" t="s">
        <v>236</v>
      </c>
      <c r="C3" t="s">
        <v>237</v>
      </c>
      <c r="D3" s="4">
        <v>-0.1586588904432386</v>
      </c>
      <c r="E3" s="4">
        <v>-0.0492351741763107</v>
      </c>
      <c r="F3" s="4">
        <v>-0.2932946087060304</v>
      </c>
      <c r="G3" s="4">
        <v>-0.1844278878913553</v>
      </c>
      <c r="H3" s="4">
        <v>-0.1869060363033471</v>
      </c>
      <c r="I3" s="4">
        <v>-0.0414487208544344</v>
      </c>
      <c r="J3" s="3">
        <v>0.0429871872960194</v>
      </c>
    </row>
    <row r="4" spans="1:10">
      <c r="A4" t="s">
        <v>238</v>
      </c>
      <c r="B4" t="s">
        <v>239</v>
      </c>
      <c r="C4" t="s">
        <v>240</v>
      </c>
      <c r="D4" s="4">
        <v>-0.215133927408218</v>
      </c>
      <c r="E4" s="4">
        <v>-0.1900378255890646</v>
      </c>
      <c r="F4" s="4">
        <v>-0.160768258683134</v>
      </c>
      <c r="G4" s="4">
        <v>-0.1395209106937804</v>
      </c>
      <c r="H4" s="4">
        <v>-0.1122234634971092</v>
      </c>
      <c r="I4" s="4">
        <v>-0.1056698071809708</v>
      </c>
      <c r="J4" s="3">
        <v>0.0351529017512359</v>
      </c>
    </row>
    <row r="5" spans="1:10">
      <c r="A5" t="s">
        <v>241</v>
      </c>
      <c r="B5" t="s">
        <v>242</v>
      </c>
      <c r="C5" t="s">
        <v>240</v>
      </c>
      <c r="D5" s="4">
        <v>0.2412275145319811</v>
      </c>
      <c r="E5" s="4">
        <v>0.2549962661873715</v>
      </c>
      <c r="F5" s="4">
        <v>0.2138101294559553</v>
      </c>
      <c r="G5" s="4">
        <v>0.2497782504341827</v>
      </c>
      <c r="H5" s="4">
        <v>0.2236940565898231</v>
      </c>
      <c r="I5" s="4">
        <v>0.2558697830545291</v>
      </c>
      <c r="J5" s="3">
        <v>0.01754386707397</v>
      </c>
    </row>
    <row r="6" spans="1:10">
      <c r="A6" t="s">
        <v>243</v>
      </c>
      <c r="B6" t="s">
        <v>244</v>
      </c>
      <c r="C6" t="s">
        <v>240</v>
      </c>
      <c r="D6" s="4">
        <v>0.1048953332355819</v>
      </c>
      <c r="E6" s="4">
        <v>0.0979955367065998</v>
      </c>
      <c r="F6" s="4">
        <v>0.0568282171868106</v>
      </c>
      <c r="G6" s="4">
        <v>0.0604584946452206</v>
      </c>
      <c r="H6" s="4">
        <v>0.0640695405419129</v>
      </c>
      <c r="I6" s="4">
        <v>0.0461582374196556</v>
      </c>
      <c r="J6" s="3">
        <v>0.0015276408606792</v>
      </c>
    </row>
    <row r="7" spans="1:10">
      <c r="A7" t="s">
        <v>245</v>
      </c>
      <c r="B7" t="s">
        <v>246</v>
      </c>
      <c r="C7" t="s">
        <v>240</v>
      </c>
      <c r="D7" s="4">
        <v>0.1037367869190728</v>
      </c>
      <c r="E7" s="4">
        <v>0.1049960701277861</v>
      </c>
      <c r="F7" s="4">
        <v>0.1413208743241827</v>
      </c>
      <c r="G7" s="4">
        <v>0.1626351020527595</v>
      </c>
      <c r="H7" s="4">
        <v>0.1792310790745892</v>
      </c>
      <c r="I7" s="4">
        <v>0.1907068098016449</v>
      </c>
      <c r="J7" s="3">
        <v>0.0363154614642016</v>
      </c>
    </row>
    <row r="8" spans="1:10">
      <c r="A8" t="s">
        <v>247</v>
      </c>
      <c r="B8" t="s">
        <v>248</v>
      </c>
      <c r="C8" t="s">
        <v>249</v>
      </c>
      <c r="D8" s="4">
        <v>-0.1327209309345844</v>
      </c>
      <c r="E8" s="4">
        <v>-0.1332013271330432</v>
      </c>
      <c r="F8" s="4">
        <v>-0.1438494631721553</v>
      </c>
      <c r="G8" s="4">
        <v>-0.1365721342181196</v>
      </c>
      <c r="H8" s="4">
        <v>-0.1672267675709694</v>
      </c>
      <c r="I8" s="4">
        <v>-0.1500230164578645</v>
      </c>
      <c r="J8" s="3">
        <v>-0.0052531107180413</v>
      </c>
    </row>
    <row r="9" spans="1:10">
      <c r="A9" t="s">
        <v>250</v>
      </c>
      <c r="B9" t="s">
        <v>251</v>
      </c>
      <c r="C9" t="s">
        <v>240</v>
      </c>
      <c r="D9" s="4">
        <v>0.0120298029520691</v>
      </c>
      <c r="E9" s="4">
        <v>0.0274787114042101</v>
      </c>
      <c r="F9" s="4">
        <v>-0.0241868183742693</v>
      </c>
      <c r="G9" s="4">
        <v>-0.0110212704677454</v>
      </c>
      <c r="H9" s="4">
        <v>-0.0389658511896361</v>
      </c>
      <c r="I9" s="4">
        <v>-0.0281558466817636</v>
      </c>
      <c r="J9" s="3">
        <v>0.0042765999477194</v>
      </c>
    </row>
    <row r="10" spans="1:10">
      <c r="A10" t="s">
        <v>252</v>
      </c>
      <c r="B10" t="s">
        <v>253</v>
      </c>
      <c r="C10" t="s">
        <v>240</v>
      </c>
      <c r="D10" s="4">
        <v>-0.0267373471498786</v>
      </c>
      <c r="E10" s="4">
        <v>-0.0265827127464648</v>
      </c>
      <c r="F10" s="4">
        <v>0.0617103804806866</v>
      </c>
      <c r="G10" s="4">
        <v>0.0491206920957301</v>
      </c>
      <c r="H10" s="4">
        <v>0.1107852112533438</v>
      </c>
      <c r="I10" s="4">
        <v>0.09381154271675581</v>
      </c>
      <c r="J10" s="3">
        <v>0.0653181936713238</v>
      </c>
    </row>
    <row r="11" spans="1:10">
      <c r="A11" t="s">
        <v>254</v>
      </c>
      <c r="B11" t="s">
        <v>255</v>
      </c>
      <c r="C11" t="s">
        <v>234</v>
      </c>
      <c r="D11" s="4">
        <v>-0.132826089770241</v>
      </c>
      <c r="E11" s="4">
        <v>-0.1352208564677927</v>
      </c>
      <c r="F11" s="4">
        <v>-0.13940118868242</v>
      </c>
      <c r="G11" s="4">
        <v>-0.1429189550084255</v>
      </c>
      <c r="H11" s="4">
        <v>-0.1161607963357745</v>
      </c>
      <c r="I11" s="4">
        <v>-0.14129976184822</v>
      </c>
      <c r="J11" s="3">
        <v>-0.0970910840681532</v>
      </c>
    </row>
    <row r="12" spans="1:10">
      <c r="A12" t="s">
        <v>256</v>
      </c>
      <c r="B12" t="s">
        <v>257</v>
      </c>
      <c r="C12" t="s">
        <v>234</v>
      </c>
      <c r="D12" s="4">
        <v>-0.0970910840681532</v>
      </c>
      <c r="E12" s="4">
        <v>-0.08170363906505081</v>
      </c>
      <c r="F12" s="4">
        <v>0.0054363475828831</v>
      </c>
      <c r="G12" s="4">
        <v>-0.0028919044760755</v>
      </c>
      <c r="H12" s="4">
        <v>0.082975743392337</v>
      </c>
      <c r="I12" s="4">
        <v>0.0418478549222007</v>
      </c>
      <c r="J12" s="3">
        <v>0.0991338856271657</v>
      </c>
    </row>
    <row r="13" spans="1:10">
      <c r="A13" t="s">
        <v>258</v>
      </c>
      <c r="B13" t="s">
        <v>259</v>
      </c>
      <c r="C13" t="s">
        <v>234</v>
      </c>
      <c r="D13" s="4">
        <v>0.0991338856271657</v>
      </c>
      <c r="E13" s="4">
        <v>0.08236814193379</v>
      </c>
      <c r="F13" s="4">
        <v>0.1288158958827454</v>
      </c>
      <c r="G13" s="4">
        <v>0.09014351993229661</v>
      </c>
      <c r="H13" s="4">
        <v>0.5690292163313553</v>
      </c>
      <c r="I13" s="4">
        <v>0.5137418280871127</v>
      </c>
      <c r="J13" s="3">
        <v>0.0131180261400918</v>
      </c>
    </row>
    <row r="14" spans="1:10">
      <c r="A14" t="s">
        <v>260</v>
      </c>
      <c r="B14" t="s">
        <v>261</v>
      </c>
      <c r="C14" t="s">
        <v>240</v>
      </c>
      <c r="D14" s="4">
        <v>0.3081460756872234</v>
      </c>
      <c r="E14" s="4">
        <v>0.3101426381633512</v>
      </c>
      <c r="F14" s="4">
        <v>0.2771905282260978</v>
      </c>
      <c r="G14" s="4">
        <v>0.2746883402097086</v>
      </c>
      <c r="H14" s="4">
        <v>0.2364596791835869</v>
      </c>
      <c r="I14" s="4">
        <v>0.237457920758524</v>
      </c>
      <c r="J14" s="3">
        <v>-0.0633498273865009</v>
      </c>
    </row>
    <row r="15" spans="1:10">
      <c r="A15" t="s">
        <v>262</v>
      </c>
      <c r="B15" t="s">
        <v>263</v>
      </c>
      <c r="C15" t="s">
        <v>264</v>
      </c>
      <c r="D15" s="4">
        <v>0.0368715633396818</v>
      </c>
      <c r="E15" s="4">
        <v>0.0412814438244641</v>
      </c>
      <c r="F15" s="4">
        <v>0.0503173679085386</v>
      </c>
      <c r="G15" s="4">
        <v>0.0421426853582129</v>
      </c>
      <c r="H15" t="s">
        <v>105</v>
      </c>
      <c r="I15" t="s">
        <v>105</v>
      </c>
      <c r="J15" s="3">
        <v>0.0086988187481242</v>
      </c>
    </row>
  </sheetData>
  <autoFilter ref="A1:J1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7" width="17.7109375" customWidth="1"/>
  </cols>
  <sheetData>
    <row r="1" spans="1:27" ht="32" customHeight="1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286</v>
      </c>
      <c r="W1" s="1" t="s">
        <v>287</v>
      </c>
      <c r="X1" s="1" t="s">
        <v>288</v>
      </c>
      <c r="Y1" s="1" t="s">
        <v>289</v>
      </c>
      <c r="Z1" s="1" t="s">
        <v>290</v>
      </c>
      <c r="AA1" s="1" t="s">
        <v>291</v>
      </c>
    </row>
    <row r="2" spans="1:27">
      <c r="A2" t="s">
        <v>292</v>
      </c>
      <c r="B2" t="s">
        <v>293</v>
      </c>
      <c r="C2" t="s">
        <v>294</v>
      </c>
      <c r="D2" s="3">
        <v>230</v>
      </c>
      <c r="E2" s="3">
        <v>251.53</v>
      </c>
      <c r="F2" s="3">
        <v>25.7</v>
      </c>
      <c r="G2" s="3">
        <v>29</v>
      </c>
      <c r="H2" s="3">
        <v>0</v>
      </c>
      <c r="I2" s="3">
        <v>0</v>
      </c>
      <c r="J2" s="3">
        <v>0</v>
      </c>
      <c r="K2" s="4">
        <v>0.4956</v>
      </c>
      <c r="L2" s="3">
        <v>0.7632</v>
      </c>
      <c r="M2" s="3">
        <v>0.008399999999999999</v>
      </c>
      <c r="N2" s="3">
        <v>-0.201</v>
      </c>
      <c r="O2" s="3">
        <v>0.2158</v>
      </c>
      <c r="P2" t="s">
        <v>295</v>
      </c>
      <c r="Q2" t="s">
        <v>105</v>
      </c>
      <c r="R2" t="s">
        <v>296</v>
      </c>
      <c r="S2" s="3">
        <v>100</v>
      </c>
      <c r="T2" s="3">
        <v>27.35</v>
      </c>
      <c r="U2" s="4">
        <v>0.1206581352833638</v>
      </c>
      <c r="V2" s="3">
        <v>28</v>
      </c>
      <c r="W2" s="3">
        <v>1.093608695652174</v>
      </c>
      <c r="X2" s="3">
        <v>1</v>
      </c>
      <c r="Y2" t="s">
        <v>105</v>
      </c>
      <c r="Z2" s="3">
        <v>0</v>
      </c>
      <c r="AA2" s="3">
        <v>0</v>
      </c>
    </row>
    <row r="3" spans="1:27">
      <c r="A3" t="s">
        <v>297</v>
      </c>
      <c r="B3" t="s">
        <v>293</v>
      </c>
      <c r="C3" t="s">
        <v>298</v>
      </c>
      <c r="D3" s="3">
        <v>230</v>
      </c>
      <c r="E3" s="3">
        <v>251.53</v>
      </c>
      <c r="F3" s="3">
        <v>3</v>
      </c>
      <c r="G3" s="3">
        <v>7.3</v>
      </c>
      <c r="H3" s="3">
        <v>0</v>
      </c>
      <c r="I3" s="3">
        <v>0</v>
      </c>
      <c r="J3" s="3">
        <v>0</v>
      </c>
      <c r="K3" s="4">
        <v>0.5084</v>
      </c>
      <c r="L3" s="3">
        <v>-0.2382</v>
      </c>
      <c r="M3" s="3">
        <v>0.008500000000000001</v>
      </c>
      <c r="N3" s="3">
        <v>-0.2023</v>
      </c>
      <c r="O3" s="3">
        <v>0.2165</v>
      </c>
      <c r="P3" t="s">
        <v>295</v>
      </c>
      <c r="Q3" t="s">
        <v>105</v>
      </c>
      <c r="R3" t="s">
        <v>296</v>
      </c>
      <c r="S3" s="3">
        <v>100</v>
      </c>
      <c r="T3" s="3">
        <v>5.15</v>
      </c>
      <c r="U3" s="4">
        <v>0.8349514563106796</v>
      </c>
      <c r="V3" s="3">
        <v>28</v>
      </c>
      <c r="W3" s="3">
        <v>1.093608695652174</v>
      </c>
      <c r="X3" s="3">
        <v>1</v>
      </c>
      <c r="Y3" t="s">
        <v>105</v>
      </c>
      <c r="Z3" s="3">
        <v>0</v>
      </c>
      <c r="AA3" s="3">
        <v>0</v>
      </c>
    </row>
    <row r="4" spans="1:27">
      <c r="A4" t="s">
        <v>299</v>
      </c>
      <c r="B4" t="s">
        <v>293</v>
      </c>
      <c r="C4" t="s">
        <v>294</v>
      </c>
      <c r="D4" s="3">
        <v>240</v>
      </c>
      <c r="E4" s="3">
        <v>251.53</v>
      </c>
      <c r="F4" s="3">
        <v>19.5</v>
      </c>
      <c r="G4" s="3">
        <v>22.9</v>
      </c>
      <c r="H4" s="3">
        <v>27.51</v>
      </c>
      <c r="I4" s="3">
        <v>0</v>
      </c>
      <c r="J4" s="3">
        <v>2</v>
      </c>
      <c r="K4" s="4">
        <v>0.5185</v>
      </c>
      <c r="L4" s="3">
        <v>0.6657</v>
      </c>
      <c r="M4" s="3">
        <v>0.0101</v>
      </c>
      <c r="N4" s="3">
        <v>-0.2346</v>
      </c>
      <c r="O4" s="3">
        <v>0.2542</v>
      </c>
      <c r="P4" t="s">
        <v>295</v>
      </c>
      <c r="Q4" t="s">
        <v>300</v>
      </c>
      <c r="R4" t="s">
        <v>296</v>
      </c>
      <c r="S4" s="3">
        <v>100</v>
      </c>
      <c r="T4" s="3">
        <v>21.2</v>
      </c>
      <c r="U4" s="4">
        <v>0.1603773584905659</v>
      </c>
      <c r="V4" s="3">
        <v>28</v>
      </c>
      <c r="W4" s="3">
        <v>1.048041666666667</v>
      </c>
      <c r="X4" s="3">
        <v>1</v>
      </c>
      <c r="Y4" s="3">
        <v>9</v>
      </c>
      <c r="Z4" s="3">
        <v>0</v>
      </c>
      <c r="AA4" s="3">
        <v>0</v>
      </c>
    </row>
    <row r="5" spans="1:27">
      <c r="A5" t="s">
        <v>301</v>
      </c>
      <c r="B5" t="s">
        <v>293</v>
      </c>
      <c r="C5" t="s">
        <v>298</v>
      </c>
      <c r="D5" s="3">
        <v>240</v>
      </c>
      <c r="E5" s="3">
        <v>251.53</v>
      </c>
      <c r="F5" s="3">
        <v>6.4</v>
      </c>
      <c r="G5" s="3">
        <v>10.5</v>
      </c>
      <c r="H5" s="3">
        <v>0</v>
      </c>
      <c r="I5" s="3">
        <v>0</v>
      </c>
      <c r="J5" s="3">
        <v>0</v>
      </c>
      <c r="K5" s="4">
        <v>0.508</v>
      </c>
      <c r="L5" s="3">
        <v>-0.3364</v>
      </c>
      <c r="M5" s="3">
        <v>0.0102</v>
      </c>
      <c r="N5" s="3">
        <v>-0.2364</v>
      </c>
      <c r="O5" s="3">
        <v>0.2545</v>
      </c>
      <c r="P5" t="s">
        <v>295</v>
      </c>
      <c r="Q5" t="s">
        <v>105</v>
      </c>
      <c r="R5" t="s">
        <v>296</v>
      </c>
      <c r="S5" s="3">
        <v>100</v>
      </c>
      <c r="T5" s="3">
        <v>8.449999999999999</v>
      </c>
      <c r="U5" s="4">
        <v>0.4852071005917159</v>
      </c>
      <c r="V5" s="3">
        <v>28</v>
      </c>
      <c r="W5" s="3">
        <v>1.048041666666667</v>
      </c>
      <c r="X5" s="3">
        <v>1</v>
      </c>
      <c r="Y5" t="s">
        <v>105</v>
      </c>
      <c r="Z5" s="3">
        <v>0</v>
      </c>
      <c r="AA5" s="3">
        <v>0</v>
      </c>
    </row>
    <row r="6" spans="1:27">
      <c r="A6" t="s">
        <v>302</v>
      </c>
      <c r="B6" t="s">
        <v>293</v>
      </c>
      <c r="C6" t="s">
        <v>294</v>
      </c>
      <c r="D6" s="3">
        <v>250</v>
      </c>
      <c r="E6" s="3">
        <v>251.53</v>
      </c>
      <c r="F6" s="3">
        <v>13.5</v>
      </c>
      <c r="G6" s="3">
        <v>17.5</v>
      </c>
      <c r="H6" s="3">
        <v>0</v>
      </c>
      <c r="I6" s="3">
        <v>0</v>
      </c>
      <c r="J6" s="3">
        <v>0</v>
      </c>
      <c r="K6" s="4">
        <v>0.5125999999999999</v>
      </c>
      <c r="L6" s="3">
        <v>0.5572</v>
      </c>
      <c r="M6" s="3">
        <v>0.011</v>
      </c>
      <c r="N6" s="3">
        <v>-0.2542</v>
      </c>
      <c r="O6" s="3">
        <v>0.2755</v>
      </c>
      <c r="P6" t="s">
        <v>295</v>
      </c>
      <c r="Q6" t="s">
        <v>105</v>
      </c>
      <c r="R6" t="s">
        <v>296</v>
      </c>
      <c r="S6" s="3">
        <v>100</v>
      </c>
      <c r="T6" s="3">
        <v>15.5</v>
      </c>
      <c r="U6" s="4">
        <v>0.2580645161290322</v>
      </c>
      <c r="V6" s="3">
        <v>28</v>
      </c>
      <c r="W6" s="3">
        <v>1.00612</v>
      </c>
      <c r="X6" s="3">
        <v>1</v>
      </c>
      <c r="Y6" t="s">
        <v>105</v>
      </c>
      <c r="Z6" s="3">
        <v>0</v>
      </c>
      <c r="AA6" s="3">
        <v>0</v>
      </c>
    </row>
    <row r="7" spans="1:27">
      <c r="A7" t="s">
        <v>303</v>
      </c>
      <c r="B7" t="s">
        <v>293</v>
      </c>
      <c r="C7" t="s">
        <v>298</v>
      </c>
      <c r="D7" s="3">
        <v>250</v>
      </c>
      <c r="E7" s="3">
        <v>251.53</v>
      </c>
      <c r="F7" s="3">
        <v>11.2</v>
      </c>
      <c r="G7" s="3">
        <v>15</v>
      </c>
      <c r="H7" s="3">
        <v>0</v>
      </c>
      <c r="I7" s="3">
        <v>0</v>
      </c>
      <c r="J7" s="3">
        <v>0</v>
      </c>
      <c r="K7" s="4">
        <v>0.5158</v>
      </c>
      <c r="L7" s="3">
        <v>-0.4458</v>
      </c>
      <c r="M7" s="3">
        <v>0.0111</v>
      </c>
      <c r="N7" s="3">
        <v>-0.2565</v>
      </c>
      <c r="O7" s="3">
        <v>0.2755</v>
      </c>
      <c r="P7" t="s">
        <v>295</v>
      </c>
      <c r="Q7" t="s">
        <v>105</v>
      </c>
      <c r="R7" t="s">
        <v>296</v>
      </c>
      <c r="S7" s="3">
        <v>100</v>
      </c>
      <c r="T7" s="3">
        <v>13.1</v>
      </c>
      <c r="U7" s="4">
        <v>0.2900763358778626</v>
      </c>
      <c r="V7" s="3">
        <v>28</v>
      </c>
      <c r="W7" s="3">
        <v>1.00612</v>
      </c>
      <c r="X7" s="3">
        <v>1</v>
      </c>
      <c r="Y7" t="s">
        <v>105</v>
      </c>
      <c r="Z7" s="3">
        <v>0</v>
      </c>
      <c r="AA7" s="3">
        <v>0</v>
      </c>
    </row>
    <row r="8" spans="1:27">
      <c r="A8" t="s">
        <v>304</v>
      </c>
      <c r="B8" t="s">
        <v>293</v>
      </c>
      <c r="C8" t="s">
        <v>294</v>
      </c>
      <c r="D8" s="3">
        <v>260</v>
      </c>
      <c r="E8" s="3">
        <v>251.53</v>
      </c>
      <c r="F8" s="3">
        <v>9.4</v>
      </c>
      <c r="G8" s="3">
        <v>13</v>
      </c>
      <c r="H8" s="3">
        <v>16.65</v>
      </c>
      <c r="I8" s="3">
        <v>0</v>
      </c>
      <c r="J8" s="3">
        <v>2</v>
      </c>
      <c r="K8" s="4">
        <v>0.5175999999999999</v>
      </c>
      <c r="L8" s="3">
        <v>0.4492</v>
      </c>
      <c r="M8" s="3">
        <v>0.0109</v>
      </c>
      <c r="N8" s="3">
        <v>-0.2566</v>
      </c>
      <c r="O8" s="3">
        <v>0.276</v>
      </c>
      <c r="P8" t="s">
        <v>295</v>
      </c>
      <c r="Q8" t="s">
        <v>305</v>
      </c>
      <c r="R8" t="s">
        <v>296</v>
      </c>
      <c r="S8" s="3">
        <v>100</v>
      </c>
      <c r="T8" s="3">
        <v>11.2</v>
      </c>
      <c r="U8" s="4">
        <v>0.3214285714285714</v>
      </c>
      <c r="V8" s="3">
        <v>28</v>
      </c>
      <c r="W8" s="3">
        <v>0.9674230769230768</v>
      </c>
      <c r="X8" s="3">
        <v>1</v>
      </c>
      <c r="Y8" s="3">
        <v>10</v>
      </c>
      <c r="Z8" s="3">
        <v>0</v>
      </c>
      <c r="AA8" s="3">
        <v>0</v>
      </c>
    </row>
    <row r="9" spans="1:27">
      <c r="A9" t="s">
        <v>306</v>
      </c>
      <c r="B9" t="s">
        <v>293</v>
      </c>
      <c r="C9" t="s">
        <v>298</v>
      </c>
      <c r="D9" s="3">
        <v>260</v>
      </c>
      <c r="E9" s="3">
        <v>251.53</v>
      </c>
      <c r="F9" s="3">
        <v>17.2</v>
      </c>
      <c r="G9" s="3">
        <v>20.5</v>
      </c>
      <c r="H9" s="3">
        <v>39.56</v>
      </c>
      <c r="I9" s="3">
        <v>0</v>
      </c>
      <c r="J9" s="3">
        <v>1</v>
      </c>
      <c r="K9" s="4">
        <v>0.5226</v>
      </c>
      <c r="L9" s="3">
        <v>-0.5548999999999999</v>
      </c>
      <c r="M9" s="3">
        <v>0.011</v>
      </c>
      <c r="N9" s="3">
        <v>-0.2595</v>
      </c>
      <c r="O9" s="3">
        <v>0.2753</v>
      </c>
      <c r="P9" t="s">
        <v>295</v>
      </c>
      <c r="Q9" t="s">
        <v>307</v>
      </c>
      <c r="R9" t="s">
        <v>296</v>
      </c>
      <c r="S9" s="3">
        <v>100</v>
      </c>
      <c r="T9" s="3">
        <v>18.85</v>
      </c>
      <c r="U9" s="4">
        <v>0.1750663129973475</v>
      </c>
      <c r="V9" s="3">
        <v>28</v>
      </c>
      <c r="W9" s="3">
        <v>0.9674230769230768</v>
      </c>
      <c r="X9" s="3">
        <v>1</v>
      </c>
      <c r="Y9" s="3">
        <v>25</v>
      </c>
      <c r="Z9" s="3">
        <v>0</v>
      </c>
      <c r="AA9" s="3">
        <v>0</v>
      </c>
    </row>
    <row r="10" spans="1:27">
      <c r="A10" t="s">
        <v>308</v>
      </c>
      <c r="B10" t="s">
        <v>293</v>
      </c>
      <c r="C10" t="s">
        <v>294</v>
      </c>
      <c r="D10" s="3">
        <v>270</v>
      </c>
      <c r="E10" s="3">
        <v>251.53</v>
      </c>
      <c r="F10" s="3">
        <v>6.5</v>
      </c>
      <c r="G10" s="3">
        <v>9.800000000000001</v>
      </c>
      <c r="H10" s="3">
        <v>7.9</v>
      </c>
      <c r="I10" s="3">
        <v>1</v>
      </c>
      <c r="J10" s="3">
        <v>1</v>
      </c>
      <c r="K10" s="4">
        <v>0.5318000000000001</v>
      </c>
      <c r="L10" s="3">
        <v>0.3517</v>
      </c>
      <c r="M10" s="3">
        <v>0.0101</v>
      </c>
      <c r="N10" s="3">
        <v>-0.2438</v>
      </c>
      <c r="O10" s="3">
        <v>0.259</v>
      </c>
      <c r="P10" t="s">
        <v>295</v>
      </c>
      <c r="Q10" t="s">
        <v>309</v>
      </c>
      <c r="R10" t="s">
        <v>296</v>
      </c>
      <c r="S10" s="3">
        <v>100</v>
      </c>
      <c r="T10" s="3">
        <v>8.15</v>
      </c>
      <c r="U10" s="4">
        <v>0.4049079754601227</v>
      </c>
      <c r="V10" s="3">
        <v>28</v>
      </c>
      <c r="W10" s="3">
        <v>0.9315925925925926</v>
      </c>
      <c r="X10" s="3">
        <v>1</v>
      </c>
      <c r="Y10" s="3">
        <v>0</v>
      </c>
      <c r="Z10" s="3">
        <v>0</v>
      </c>
      <c r="AA10" s="3">
        <v>0</v>
      </c>
    </row>
    <row r="11" spans="1:27">
      <c r="A11" t="s">
        <v>310</v>
      </c>
      <c r="B11" t="s">
        <v>293</v>
      </c>
      <c r="C11" t="s">
        <v>298</v>
      </c>
      <c r="D11" s="3">
        <v>270</v>
      </c>
      <c r="E11" s="3">
        <v>251.53</v>
      </c>
      <c r="F11" s="3">
        <v>24.2</v>
      </c>
      <c r="G11" s="3">
        <v>27.5</v>
      </c>
      <c r="H11" s="3">
        <v>0</v>
      </c>
      <c r="I11" s="3">
        <v>0</v>
      </c>
      <c r="J11" s="3">
        <v>0</v>
      </c>
      <c r="K11" s="4">
        <v>0.5386</v>
      </c>
      <c r="L11" s="3">
        <v>-0.6536</v>
      </c>
      <c r="M11" s="3">
        <v>0.0102</v>
      </c>
      <c r="N11" s="3">
        <v>-0.2474</v>
      </c>
      <c r="O11" s="3">
        <v>0.2566</v>
      </c>
      <c r="P11" t="s">
        <v>295</v>
      </c>
      <c r="Q11" t="s">
        <v>105</v>
      </c>
      <c r="R11" t="s">
        <v>296</v>
      </c>
      <c r="S11" s="3">
        <v>100</v>
      </c>
      <c r="T11" s="3">
        <v>25.85</v>
      </c>
      <c r="U11" s="4">
        <v>0.1276595744680851</v>
      </c>
      <c r="V11" s="3">
        <v>28</v>
      </c>
      <c r="W11" s="3">
        <v>0.9315925925925926</v>
      </c>
      <c r="X11" s="3">
        <v>1</v>
      </c>
      <c r="Y11" t="s">
        <v>105</v>
      </c>
      <c r="Z11" s="3">
        <v>0</v>
      </c>
      <c r="AA11" s="3">
        <v>0</v>
      </c>
    </row>
    <row r="12" spans="1:27">
      <c r="A12" t="s">
        <v>311</v>
      </c>
      <c r="B12" t="s">
        <v>293</v>
      </c>
      <c r="C12" t="s">
        <v>294</v>
      </c>
      <c r="D12" s="3">
        <v>280</v>
      </c>
      <c r="E12" s="3">
        <v>251.53</v>
      </c>
      <c r="F12" s="3">
        <v>3.8</v>
      </c>
      <c r="G12" s="3">
        <v>7.5</v>
      </c>
      <c r="H12" s="3">
        <v>5.5</v>
      </c>
      <c r="I12" s="3">
        <v>3</v>
      </c>
      <c r="J12" s="3">
        <v>1</v>
      </c>
      <c r="K12" s="4">
        <v>0.5351</v>
      </c>
      <c r="L12" s="3">
        <v>0.27</v>
      </c>
      <c r="M12" s="3">
        <v>0.008800000000000001</v>
      </c>
      <c r="N12" s="3">
        <v>-0.2211</v>
      </c>
      <c r="O12" s="3">
        <v>0.231</v>
      </c>
      <c r="P12" t="s">
        <v>295</v>
      </c>
      <c r="Q12" t="s">
        <v>312</v>
      </c>
      <c r="R12" t="s">
        <v>296</v>
      </c>
      <c r="S12" s="3">
        <v>100</v>
      </c>
      <c r="T12" s="3">
        <v>5.65</v>
      </c>
      <c r="U12" s="4">
        <v>0.6548672566371682</v>
      </c>
      <c r="V12" s="3">
        <v>28</v>
      </c>
      <c r="W12" s="3">
        <v>0.8983214285714286</v>
      </c>
      <c r="X12" s="3">
        <v>1</v>
      </c>
      <c r="Y12" s="3">
        <v>0</v>
      </c>
      <c r="Z12" s="3">
        <v>0</v>
      </c>
      <c r="AA12" s="3">
        <v>0</v>
      </c>
    </row>
    <row r="13" spans="1:27">
      <c r="A13" t="s">
        <v>313</v>
      </c>
      <c r="B13" t="s">
        <v>293</v>
      </c>
      <c r="C13" t="s">
        <v>298</v>
      </c>
      <c r="D13" s="3">
        <v>280</v>
      </c>
      <c r="E13" s="3">
        <v>251.53</v>
      </c>
      <c r="F13" s="3">
        <v>31.9</v>
      </c>
      <c r="G13" s="3">
        <v>35</v>
      </c>
      <c r="H13" s="3">
        <v>0</v>
      </c>
      <c r="I13" s="3">
        <v>0</v>
      </c>
      <c r="J13" s="3">
        <v>0</v>
      </c>
      <c r="K13" s="4">
        <v>0.546</v>
      </c>
      <c r="L13" s="3">
        <v>-0.7365</v>
      </c>
      <c r="M13" s="3">
        <v>0.008999999999999999</v>
      </c>
      <c r="N13" s="3">
        <v>-0.2253</v>
      </c>
      <c r="O13" s="3">
        <v>0.2276</v>
      </c>
      <c r="P13" t="s">
        <v>295</v>
      </c>
      <c r="Q13" t="s">
        <v>105</v>
      </c>
      <c r="R13" t="s">
        <v>296</v>
      </c>
      <c r="S13" s="3">
        <v>100</v>
      </c>
      <c r="T13" s="3">
        <v>33.45</v>
      </c>
      <c r="U13" s="4">
        <v>0.0926756352765321</v>
      </c>
      <c r="V13" s="3">
        <v>28</v>
      </c>
      <c r="W13" s="3">
        <v>0.8983214285714286</v>
      </c>
      <c r="X13" s="3">
        <v>1</v>
      </c>
      <c r="Y13" t="s">
        <v>105</v>
      </c>
      <c r="Z13" s="3">
        <v>0</v>
      </c>
      <c r="AA13" s="3">
        <v>0</v>
      </c>
    </row>
    <row r="14" spans="1:27">
      <c r="A14" t="s">
        <v>314</v>
      </c>
      <c r="B14" t="s">
        <v>315</v>
      </c>
      <c r="C14" t="s">
        <v>294</v>
      </c>
      <c r="D14" s="3">
        <v>230</v>
      </c>
      <c r="E14" s="3">
        <v>251.53</v>
      </c>
      <c r="F14" s="3">
        <v>34</v>
      </c>
      <c r="G14" s="3">
        <v>37.7</v>
      </c>
      <c r="H14" s="3">
        <v>0</v>
      </c>
      <c r="I14" s="3">
        <v>0</v>
      </c>
      <c r="J14" s="3">
        <v>0</v>
      </c>
      <c r="K14" s="4">
        <v>0.5602</v>
      </c>
      <c r="L14" s="3">
        <v>0.7035</v>
      </c>
      <c r="M14" s="3">
        <v>0.0059</v>
      </c>
      <c r="N14" s="3">
        <v>-0.1612</v>
      </c>
      <c r="O14" s="3">
        <v>0.3621</v>
      </c>
      <c r="P14" t="s">
        <v>295</v>
      </c>
      <c r="Q14" t="s">
        <v>105</v>
      </c>
      <c r="R14" t="s">
        <v>296</v>
      </c>
      <c r="S14" s="3">
        <v>100</v>
      </c>
      <c r="T14" s="3">
        <v>35.85</v>
      </c>
      <c r="U14" s="4">
        <v>0.1032078103207811</v>
      </c>
      <c r="V14" s="3">
        <v>63</v>
      </c>
      <c r="W14" s="3">
        <v>1.093608695652174</v>
      </c>
      <c r="X14" s="3">
        <v>1</v>
      </c>
      <c r="Y14" t="s">
        <v>105</v>
      </c>
      <c r="Z14" s="3">
        <v>0</v>
      </c>
      <c r="AA14" s="3">
        <v>0</v>
      </c>
    </row>
    <row r="15" spans="1:27">
      <c r="A15" t="s">
        <v>316</v>
      </c>
      <c r="B15" t="s">
        <v>315</v>
      </c>
      <c r="C15" t="s">
        <v>298</v>
      </c>
      <c r="D15" s="3">
        <v>230</v>
      </c>
      <c r="E15" s="3">
        <v>251.53</v>
      </c>
      <c r="F15" s="3">
        <v>10.5</v>
      </c>
      <c r="G15" s="3">
        <v>14.4</v>
      </c>
      <c r="H15" s="3">
        <v>0</v>
      </c>
      <c r="I15" s="3">
        <v>0</v>
      </c>
      <c r="J15" s="3">
        <v>0</v>
      </c>
      <c r="K15" s="4">
        <v>0.5582</v>
      </c>
      <c r="L15" s="3">
        <v>-0.2986</v>
      </c>
      <c r="M15" s="3">
        <v>0.0059</v>
      </c>
      <c r="N15" s="3">
        <v>-0.1627</v>
      </c>
      <c r="O15" s="3">
        <v>0.3629</v>
      </c>
      <c r="P15" t="s">
        <v>295</v>
      </c>
      <c r="Q15" t="s">
        <v>105</v>
      </c>
      <c r="R15" t="s">
        <v>296</v>
      </c>
      <c r="S15" s="3">
        <v>100</v>
      </c>
      <c r="T15" s="3">
        <v>12.45</v>
      </c>
      <c r="U15" s="4">
        <v>0.3132530120481928</v>
      </c>
      <c r="V15" s="3">
        <v>63</v>
      </c>
      <c r="W15" s="3">
        <v>1.093608695652174</v>
      </c>
      <c r="X15" s="3">
        <v>1</v>
      </c>
      <c r="Y15" t="s">
        <v>105</v>
      </c>
      <c r="Z15" s="3">
        <v>0</v>
      </c>
      <c r="AA15" s="3">
        <v>0</v>
      </c>
    </row>
    <row r="16" spans="1:27">
      <c r="A16" t="s">
        <v>317</v>
      </c>
      <c r="B16" t="s">
        <v>315</v>
      </c>
      <c r="C16" t="s">
        <v>294</v>
      </c>
      <c r="D16" s="3">
        <v>240</v>
      </c>
      <c r="E16" s="3">
        <v>251.53</v>
      </c>
      <c r="F16" s="3">
        <v>28.2</v>
      </c>
      <c r="G16" s="3">
        <v>32.4</v>
      </c>
      <c r="H16" s="3">
        <v>0</v>
      </c>
      <c r="I16" s="3">
        <v>0</v>
      </c>
      <c r="J16" s="3">
        <v>0</v>
      </c>
      <c r="K16" s="4">
        <v>0.5662</v>
      </c>
      <c r="L16" s="3">
        <v>0.6378</v>
      </c>
      <c r="M16" s="3">
        <v>0.0063</v>
      </c>
      <c r="N16" s="3">
        <v>-0.1756</v>
      </c>
      <c r="O16" s="3">
        <v>0.3923</v>
      </c>
      <c r="P16" t="s">
        <v>295</v>
      </c>
      <c r="Q16" t="s">
        <v>105</v>
      </c>
      <c r="R16" t="s">
        <v>296</v>
      </c>
      <c r="S16" s="3">
        <v>100</v>
      </c>
      <c r="T16" s="3">
        <v>30.3</v>
      </c>
      <c r="U16" s="4">
        <v>0.1386138613861386</v>
      </c>
      <c r="V16" s="3">
        <v>63</v>
      </c>
      <c r="W16" s="3">
        <v>1.048041666666667</v>
      </c>
      <c r="X16" s="3">
        <v>1</v>
      </c>
      <c r="Y16" t="s">
        <v>105</v>
      </c>
      <c r="Z16" s="3">
        <v>0</v>
      </c>
      <c r="AA16" s="3">
        <v>0</v>
      </c>
    </row>
    <row r="17" spans="1:27">
      <c r="A17" t="s">
        <v>318</v>
      </c>
      <c r="B17" t="s">
        <v>315</v>
      </c>
      <c r="C17" t="s">
        <v>298</v>
      </c>
      <c r="D17" s="3">
        <v>240</v>
      </c>
      <c r="E17" s="3">
        <v>251.53</v>
      </c>
      <c r="F17" s="3">
        <v>14.9</v>
      </c>
      <c r="G17" s="3">
        <v>19</v>
      </c>
      <c r="H17" s="3">
        <v>0</v>
      </c>
      <c r="I17" s="3">
        <v>0</v>
      </c>
      <c r="J17" s="3">
        <v>0</v>
      </c>
      <c r="K17" s="4">
        <v>0.5669</v>
      </c>
      <c r="L17" s="3">
        <v>-0.3649</v>
      </c>
      <c r="M17" s="3">
        <v>0.0064</v>
      </c>
      <c r="N17" s="3">
        <v>-0.1775</v>
      </c>
      <c r="O17" s="3">
        <v>0.393</v>
      </c>
      <c r="P17" t="s">
        <v>295</v>
      </c>
      <c r="Q17" t="s">
        <v>105</v>
      </c>
      <c r="R17" t="s">
        <v>296</v>
      </c>
      <c r="S17" s="3">
        <v>100</v>
      </c>
      <c r="T17" s="3">
        <v>16.95</v>
      </c>
      <c r="U17" s="4">
        <v>0.2418879056047197</v>
      </c>
      <c r="V17" s="3">
        <v>63</v>
      </c>
      <c r="W17" s="3">
        <v>1.048041666666667</v>
      </c>
      <c r="X17" s="3">
        <v>1</v>
      </c>
      <c r="Y17" t="s">
        <v>105</v>
      </c>
      <c r="Z17" s="3">
        <v>0</v>
      </c>
      <c r="AA17" s="3">
        <v>0</v>
      </c>
    </row>
    <row r="18" spans="1:27">
      <c r="A18" t="s">
        <v>319</v>
      </c>
      <c r="B18" t="s">
        <v>315</v>
      </c>
      <c r="C18" t="s">
        <v>294</v>
      </c>
      <c r="D18" s="3">
        <v>250</v>
      </c>
      <c r="E18" s="3">
        <v>251.53</v>
      </c>
      <c r="F18" s="3">
        <v>23.5</v>
      </c>
      <c r="G18" s="3">
        <v>27.5</v>
      </c>
      <c r="H18" s="3">
        <v>0</v>
      </c>
      <c r="I18" s="3">
        <v>0</v>
      </c>
      <c r="J18" s="3">
        <v>0</v>
      </c>
      <c r="K18" s="4">
        <v>0.5729</v>
      </c>
      <c r="L18" s="3">
        <v>0.5713</v>
      </c>
      <c r="M18" s="3">
        <v>0.0066</v>
      </c>
      <c r="N18" s="3">
        <v>-0.185</v>
      </c>
      <c r="O18" s="3">
        <v>0.4107</v>
      </c>
      <c r="P18" t="s">
        <v>295</v>
      </c>
      <c r="Q18" t="s">
        <v>105</v>
      </c>
      <c r="R18" t="s">
        <v>296</v>
      </c>
      <c r="S18" s="3">
        <v>100</v>
      </c>
      <c r="T18" s="3">
        <v>25.5</v>
      </c>
      <c r="U18" s="4">
        <v>0.1568627450980392</v>
      </c>
      <c r="V18" s="3">
        <v>63</v>
      </c>
      <c r="W18" s="3">
        <v>1.00612</v>
      </c>
      <c r="X18" s="3">
        <v>1</v>
      </c>
      <c r="Y18" t="s">
        <v>105</v>
      </c>
      <c r="Z18" s="3">
        <v>0</v>
      </c>
      <c r="AA18" s="3">
        <v>0</v>
      </c>
    </row>
    <row r="19" spans="1:27">
      <c r="A19" t="s">
        <v>320</v>
      </c>
      <c r="B19" t="s">
        <v>315</v>
      </c>
      <c r="C19" t="s">
        <v>298</v>
      </c>
      <c r="D19" s="3">
        <v>250</v>
      </c>
      <c r="E19" s="3">
        <v>251.53</v>
      </c>
      <c r="F19" s="3">
        <v>20</v>
      </c>
      <c r="G19" s="3">
        <v>24.2</v>
      </c>
      <c r="H19" s="3">
        <v>0</v>
      </c>
      <c r="I19" s="3">
        <v>0</v>
      </c>
      <c r="J19" s="3">
        <v>0</v>
      </c>
      <c r="K19" s="4">
        <v>0.5734</v>
      </c>
      <c r="L19" s="3">
        <v>-0.4322</v>
      </c>
      <c r="M19" s="3">
        <v>0.0067</v>
      </c>
      <c r="N19" s="3">
        <v>-0.1875</v>
      </c>
      <c r="O19" s="3">
        <v>0.4108</v>
      </c>
      <c r="P19" t="s">
        <v>295</v>
      </c>
      <c r="Q19" t="s">
        <v>105</v>
      </c>
      <c r="R19" t="s">
        <v>296</v>
      </c>
      <c r="S19" s="3">
        <v>100</v>
      </c>
      <c r="T19" s="3">
        <v>22.1</v>
      </c>
      <c r="U19" s="4">
        <v>0.1900452488687782</v>
      </c>
      <c r="V19" s="3">
        <v>63</v>
      </c>
      <c r="W19" s="3">
        <v>1.00612</v>
      </c>
      <c r="X19" s="3">
        <v>1</v>
      </c>
      <c r="Y19" t="s">
        <v>105</v>
      </c>
      <c r="Z19" s="3">
        <v>0</v>
      </c>
      <c r="AA19" s="3">
        <v>0</v>
      </c>
    </row>
    <row r="20" spans="1:27">
      <c r="A20" t="s">
        <v>321</v>
      </c>
      <c r="B20" t="s">
        <v>315</v>
      </c>
      <c r="C20" t="s">
        <v>294</v>
      </c>
      <c r="D20" s="3">
        <v>260</v>
      </c>
      <c r="E20" s="3">
        <v>251.53</v>
      </c>
      <c r="F20" s="3">
        <v>19.2</v>
      </c>
      <c r="G20" s="3">
        <v>23.3</v>
      </c>
      <c r="H20" s="3">
        <v>0</v>
      </c>
      <c r="I20" s="3">
        <v>0</v>
      </c>
      <c r="J20" s="3">
        <v>0</v>
      </c>
      <c r="K20" s="4">
        <v>0.5765</v>
      </c>
      <c r="L20" s="3">
        <v>0.5065</v>
      </c>
      <c r="M20" s="3">
        <v>0.0066</v>
      </c>
      <c r="N20" s="3">
        <v>-0.1895</v>
      </c>
      <c r="O20" s="3">
        <v>0.4173</v>
      </c>
      <c r="P20" t="s">
        <v>295</v>
      </c>
      <c r="Q20" t="s">
        <v>105</v>
      </c>
      <c r="R20" t="s">
        <v>296</v>
      </c>
      <c r="S20" s="3">
        <v>100</v>
      </c>
      <c r="T20" s="3">
        <v>21.25</v>
      </c>
      <c r="U20" s="4">
        <v>0.1929411764705883</v>
      </c>
      <c r="V20" s="3">
        <v>63</v>
      </c>
      <c r="W20" s="3">
        <v>0.9674230769230768</v>
      </c>
      <c r="X20" s="3">
        <v>1</v>
      </c>
      <c r="Y20" t="s">
        <v>105</v>
      </c>
      <c r="Z20" s="3">
        <v>0</v>
      </c>
      <c r="AA20" s="3">
        <v>0</v>
      </c>
    </row>
    <row r="21" spans="1:27">
      <c r="A21" t="s">
        <v>322</v>
      </c>
      <c r="B21" t="s">
        <v>315</v>
      </c>
      <c r="C21" t="s">
        <v>298</v>
      </c>
      <c r="D21" s="3">
        <v>260</v>
      </c>
      <c r="E21" s="3">
        <v>251.53</v>
      </c>
      <c r="F21" s="3">
        <v>25.7</v>
      </c>
      <c r="G21" s="3">
        <v>29.5</v>
      </c>
      <c r="H21" s="3">
        <v>0</v>
      </c>
      <c r="I21" s="3">
        <v>0</v>
      </c>
      <c r="J21" s="3">
        <v>0</v>
      </c>
      <c r="K21" s="4">
        <v>0.5718</v>
      </c>
      <c r="L21" s="3">
        <v>-0.498</v>
      </c>
      <c r="M21" s="3">
        <v>0.0068</v>
      </c>
      <c r="N21" s="3">
        <v>-0.1925</v>
      </c>
      <c r="O21" s="3">
        <v>0.4165</v>
      </c>
      <c r="P21" t="s">
        <v>295</v>
      </c>
      <c r="Q21" t="s">
        <v>105</v>
      </c>
      <c r="R21" t="s">
        <v>296</v>
      </c>
      <c r="S21" s="3">
        <v>100</v>
      </c>
      <c r="T21" s="3">
        <v>27.6</v>
      </c>
      <c r="U21" s="4">
        <v>0.1376811594202898</v>
      </c>
      <c r="V21" s="3">
        <v>63</v>
      </c>
      <c r="W21" s="3">
        <v>0.9674230769230768</v>
      </c>
      <c r="X21" s="3">
        <v>1</v>
      </c>
      <c r="Y21" t="s">
        <v>105</v>
      </c>
      <c r="Z21" s="3">
        <v>0</v>
      </c>
      <c r="AA21" s="3">
        <v>0</v>
      </c>
    </row>
    <row r="22" spans="1:27">
      <c r="A22" t="s">
        <v>323</v>
      </c>
      <c r="B22" t="s">
        <v>315</v>
      </c>
      <c r="C22" t="s">
        <v>294</v>
      </c>
      <c r="D22" s="3">
        <v>270</v>
      </c>
      <c r="E22" s="3">
        <v>251.53</v>
      </c>
      <c r="F22" s="3">
        <v>15.8</v>
      </c>
      <c r="G22" s="3">
        <v>19.5</v>
      </c>
      <c r="H22" s="3">
        <v>0</v>
      </c>
      <c r="I22" s="3">
        <v>0</v>
      </c>
      <c r="J22" s="3">
        <v>0</v>
      </c>
      <c r="K22" s="4">
        <v>0.5808</v>
      </c>
      <c r="L22" s="3">
        <v>0.4452</v>
      </c>
      <c r="M22" s="3">
        <v>0.0065</v>
      </c>
      <c r="N22" s="3">
        <v>-0.1894</v>
      </c>
      <c r="O22" s="3">
        <v>0.4133</v>
      </c>
      <c r="P22" t="s">
        <v>295</v>
      </c>
      <c r="Q22" t="s">
        <v>105</v>
      </c>
      <c r="R22" t="s">
        <v>296</v>
      </c>
      <c r="S22" s="3">
        <v>100</v>
      </c>
      <c r="T22" s="3">
        <v>17.65</v>
      </c>
      <c r="U22" s="4">
        <v>0.2096317280453257</v>
      </c>
      <c r="V22" s="3">
        <v>63</v>
      </c>
      <c r="W22" s="3">
        <v>0.9315925925925926</v>
      </c>
      <c r="X22" s="3">
        <v>1</v>
      </c>
      <c r="Y22" t="s">
        <v>105</v>
      </c>
      <c r="Z22" s="3">
        <v>0</v>
      </c>
      <c r="AA22" s="3">
        <v>0</v>
      </c>
    </row>
    <row r="23" spans="1:27">
      <c r="A23" t="s">
        <v>324</v>
      </c>
      <c r="B23" t="s">
        <v>315</v>
      </c>
      <c r="C23" t="s">
        <v>298</v>
      </c>
      <c r="D23" s="3">
        <v>270</v>
      </c>
      <c r="E23" s="3">
        <v>251.53</v>
      </c>
      <c r="F23" s="3">
        <v>32.2</v>
      </c>
      <c r="G23" s="3">
        <v>36</v>
      </c>
      <c r="H23" s="3">
        <v>0</v>
      </c>
      <c r="I23" s="3">
        <v>0</v>
      </c>
      <c r="J23" s="3">
        <v>0</v>
      </c>
      <c r="K23" s="4">
        <v>0.5790999999999999</v>
      </c>
      <c r="L23" s="3">
        <v>-0.5604</v>
      </c>
      <c r="M23" s="3">
        <v>0.0066</v>
      </c>
      <c r="N23" s="3">
        <v>-0.1931</v>
      </c>
      <c r="O23" s="3">
        <v>0.4117</v>
      </c>
      <c r="P23" t="s">
        <v>295</v>
      </c>
      <c r="Q23" t="s">
        <v>105</v>
      </c>
      <c r="R23" t="s">
        <v>296</v>
      </c>
      <c r="S23" s="3">
        <v>100</v>
      </c>
      <c r="T23" s="3">
        <v>34.1</v>
      </c>
      <c r="U23" s="4">
        <v>0.1114369501466274</v>
      </c>
      <c r="V23" s="3">
        <v>63</v>
      </c>
      <c r="W23" s="3">
        <v>0.9315925925925926</v>
      </c>
      <c r="X23" s="3">
        <v>1</v>
      </c>
      <c r="Y23" t="s">
        <v>105</v>
      </c>
      <c r="Z23" s="3">
        <v>0</v>
      </c>
      <c r="AA23" s="3">
        <v>0</v>
      </c>
    </row>
    <row r="24" spans="1:27">
      <c r="A24" t="s">
        <v>325</v>
      </c>
      <c r="B24" t="s">
        <v>315</v>
      </c>
      <c r="C24" t="s">
        <v>294</v>
      </c>
      <c r="D24" s="3">
        <v>280</v>
      </c>
      <c r="E24" s="3">
        <v>251.53</v>
      </c>
      <c r="F24" s="3">
        <v>12.8</v>
      </c>
      <c r="G24" s="3">
        <v>16</v>
      </c>
      <c r="H24" s="3">
        <v>0</v>
      </c>
      <c r="I24" s="3">
        <v>0</v>
      </c>
      <c r="J24" s="3">
        <v>0</v>
      </c>
      <c r="K24" s="4">
        <v>0.58</v>
      </c>
      <c r="L24" s="3">
        <v>0.3886</v>
      </c>
      <c r="M24" s="3">
        <v>0.0063</v>
      </c>
      <c r="N24" s="3">
        <v>-0.1855</v>
      </c>
      <c r="O24" s="3">
        <v>0.4009</v>
      </c>
      <c r="P24" t="s">
        <v>295</v>
      </c>
      <c r="Q24" t="s">
        <v>105</v>
      </c>
      <c r="R24" t="s">
        <v>296</v>
      </c>
      <c r="S24" s="3">
        <v>100</v>
      </c>
      <c r="T24" s="3">
        <v>14.4</v>
      </c>
      <c r="U24" s="4">
        <v>0.2222222222222221</v>
      </c>
      <c r="V24" s="3">
        <v>63</v>
      </c>
      <c r="W24" s="3">
        <v>0.8983214285714286</v>
      </c>
      <c r="X24" s="3">
        <v>1</v>
      </c>
      <c r="Y24" t="s">
        <v>105</v>
      </c>
      <c r="Z24" s="3">
        <v>0</v>
      </c>
      <c r="AA24" s="3">
        <v>0</v>
      </c>
    </row>
    <row r="25" spans="1:27">
      <c r="A25" t="s">
        <v>326</v>
      </c>
      <c r="B25" t="s">
        <v>315</v>
      </c>
      <c r="C25" t="s">
        <v>298</v>
      </c>
      <c r="D25" s="3">
        <v>280</v>
      </c>
      <c r="E25" s="3">
        <v>251.53</v>
      </c>
      <c r="F25" s="3">
        <v>39.5</v>
      </c>
      <c r="G25" s="3">
        <v>43</v>
      </c>
      <c r="H25" s="3">
        <v>0</v>
      </c>
      <c r="I25" s="3">
        <v>0</v>
      </c>
      <c r="J25" s="3">
        <v>0</v>
      </c>
      <c r="K25" s="4">
        <v>0.5886</v>
      </c>
      <c r="L25" s="3">
        <v>-0.6182</v>
      </c>
      <c r="M25" s="3">
        <v>0.0064</v>
      </c>
      <c r="N25" s="3">
        <v>-0.1898</v>
      </c>
      <c r="O25" s="3">
        <v>0.3979</v>
      </c>
      <c r="P25" t="s">
        <v>295</v>
      </c>
      <c r="Q25" t="s">
        <v>105</v>
      </c>
      <c r="R25" t="s">
        <v>296</v>
      </c>
      <c r="S25" s="3">
        <v>100</v>
      </c>
      <c r="T25" s="3">
        <v>41.25</v>
      </c>
      <c r="U25" s="4">
        <v>0.0848484848484848</v>
      </c>
      <c r="V25" s="3">
        <v>63</v>
      </c>
      <c r="W25" s="3">
        <v>0.8983214285714286</v>
      </c>
      <c r="X25" s="3">
        <v>1</v>
      </c>
      <c r="Y25" t="s">
        <v>105</v>
      </c>
      <c r="Z25" s="3">
        <v>0</v>
      </c>
      <c r="AA25" s="3">
        <v>0</v>
      </c>
    </row>
    <row r="26" spans="1:27">
      <c r="A26" t="s">
        <v>327</v>
      </c>
      <c r="B26" t="s">
        <v>328</v>
      </c>
      <c r="C26" t="s">
        <v>294</v>
      </c>
      <c r="D26" s="3">
        <v>230</v>
      </c>
      <c r="E26" s="3">
        <v>251.53</v>
      </c>
      <c r="F26" s="3">
        <v>38.5</v>
      </c>
      <c r="G26" s="3">
        <v>42</v>
      </c>
      <c r="H26" s="3">
        <v>39</v>
      </c>
      <c r="I26" s="3">
        <v>0</v>
      </c>
      <c r="J26" s="3">
        <v>38</v>
      </c>
      <c r="K26" s="4">
        <v>0.5616</v>
      </c>
      <c r="L26" s="3">
        <v>0.6922</v>
      </c>
      <c r="M26" s="3">
        <v>0.005</v>
      </c>
      <c r="N26" s="3">
        <v>-0.1354</v>
      </c>
      <c r="O26" s="3">
        <v>0.4424</v>
      </c>
      <c r="P26" t="s">
        <v>295</v>
      </c>
      <c r="Q26" t="s">
        <v>329</v>
      </c>
      <c r="R26" t="s">
        <v>296</v>
      </c>
      <c r="S26" s="3">
        <v>100</v>
      </c>
      <c r="T26" s="3">
        <v>40.25</v>
      </c>
      <c r="U26" s="4">
        <v>0.0869565217391304</v>
      </c>
      <c r="V26" s="3">
        <v>91</v>
      </c>
      <c r="W26" s="3">
        <v>1.093608695652174</v>
      </c>
      <c r="X26" s="3">
        <v>1</v>
      </c>
      <c r="Y26" s="3">
        <v>10</v>
      </c>
      <c r="Z26" s="3">
        <v>0</v>
      </c>
      <c r="AA26" s="3">
        <v>1</v>
      </c>
    </row>
    <row r="27" spans="1:27">
      <c r="A27" t="s">
        <v>330</v>
      </c>
      <c r="B27" t="s">
        <v>328</v>
      </c>
      <c r="C27" t="s">
        <v>298</v>
      </c>
      <c r="D27" s="3">
        <v>230</v>
      </c>
      <c r="E27" s="3">
        <v>251.53</v>
      </c>
      <c r="F27" s="3">
        <v>14.4</v>
      </c>
      <c r="G27" s="3">
        <v>18.5</v>
      </c>
      <c r="H27" s="3">
        <v>16.9</v>
      </c>
      <c r="I27" s="3">
        <v>0</v>
      </c>
      <c r="J27" s="3">
        <v>2</v>
      </c>
      <c r="K27" s="4">
        <v>0.5614</v>
      </c>
      <c r="L27" s="3">
        <v>-0.3109</v>
      </c>
      <c r="M27" s="3">
        <v>0.0051</v>
      </c>
      <c r="N27" s="3">
        <v>-0.1374</v>
      </c>
      <c r="O27" s="3">
        <v>0.4441</v>
      </c>
      <c r="P27" t="s">
        <v>295</v>
      </c>
      <c r="Q27" t="s">
        <v>331</v>
      </c>
      <c r="R27" t="s">
        <v>296</v>
      </c>
      <c r="S27" s="3">
        <v>100</v>
      </c>
      <c r="T27" s="3">
        <v>16.45</v>
      </c>
      <c r="U27" s="4">
        <v>0.2492401215805471</v>
      </c>
      <c r="V27" s="3">
        <v>91</v>
      </c>
      <c r="W27" s="3">
        <v>1.093608695652174</v>
      </c>
      <c r="X27" s="3">
        <v>1</v>
      </c>
      <c r="Y27" s="3">
        <v>31</v>
      </c>
      <c r="Z27" s="3">
        <v>0</v>
      </c>
      <c r="AA27" s="3">
        <v>0</v>
      </c>
    </row>
    <row r="28" spans="1:27">
      <c r="A28" t="s">
        <v>332</v>
      </c>
      <c r="B28" t="s">
        <v>328</v>
      </c>
      <c r="C28" t="s">
        <v>294</v>
      </c>
      <c r="D28" s="3">
        <v>240</v>
      </c>
      <c r="E28" s="3">
        <v>251.53</v>
      </c>
      <c r="F28" s="3">
        <v>33.2</v>
      </c>
      <c r="G28" s="3">
        <v>36.5</v>
      </c>
      <c r="H28" s="3">
        <v>32.6</v>
      </c>
      <c r="I28" s="3">
        <v>0</v>
      </c>
      <c r="J28" s="3">
        <v>25</v>
      </c>
      <c r="K28" s="4">
        <v>0.5638</v>
      </c>
      <c r="L28" s="3">
        <v>0.6368</v>
      </c>
      <c r="M28" s="3">
        <v>0.0053</v>
      </c>
      <c r="N28" s="3">
        <v>-0.1448</v>
      </c>
      <c r="O28" s="3">
        <v>0.4718</v>
      </c>
      <c r="P28" t="s">
        <v>295</v>
      </c>
      <c r="Q28" t="s">
        <v>333</v>
      </c>
      <c r="R28" t="s">
        <v>296</v>
      </c>
      <c r="S28" s="3">
        <v>100</v>
      </c>
      <c r="T28" s="3">
        <v>34.85</v>
      </c>
      <c r="U28" s="4">
        <v>0.0946915351506455</v>
      </c>
      <c r="V28" s="3">
        <v>91</v>
      </c>
      <c r="W28" s="3">
        <v>1.048041666666667</v>
      </c>
      <c r="X28" s="3">
        <v>1</v>
      </c>
      <c r="Y28" s="3">
        <v>8</v>
      </c>
      <c r="Z28" s="3">
        <v>0</v>
      </c>
      <c r="AA28" s="3">
        <v>1</v>
      </c>
    </row>
    <row r="29" spans="1:27">
      <c r="A29" t="s">
        <v>334</v>
      </c>
      <c r="B29" t="s">
        <v>328</v>
      </c>
      <c r="C29" t="s">
        <v>298</v>
      </c>
      <c r="D29" s="3">
        <v>240</v>
      </c>
      <c r="E29" s="3">
        <v>251.53</v>
      </c>
      <c r="F29" s="3">
        <v>19.3</v>
      </c>
      <c r="G29" s="3">
        <v>23</v>
      </c>
      <c r="H29" s="3">
        <v>34.86</v>
      </c>
      <c r="I29" s="3">
        <v>0</v>
      </c>
      <c r="J29" s="3">
        <v>1</v>
      </c>
      <c r="K29" s="4">
        <v>0.5672</v>
      </c>
      <c r="L29" s="3">
        <v>-0.3671</v>
      </c>
      <c r="M29" s="3">
        <v>0.0054</v>
      </c>
      <c r="N29" s="3">
        <v>-0.1471</v>
      </c>
      <c r="O29" s="3">
        <v>0.4727</v>
      </c>
      <c r="P29" t="s">
        <v>295</v>
      </c>
      <c r="Q29" t="s">
        <v>335</v>
      </c>
      <c r="R29" t="s">
        <v>296</v>
      </c>
      <c r="S29" s="3">
        <v>100</v>
      </c>
      <c r="T29" s="3">
        <v>21.15</v>
      </c>
      <c r="U29" s="4">
        <v>0.1749408983451536</v>
      </c>
      <c r="V29" s="3">
        <v>91</v>
      </c>
      <c r="W29" s="3">
        <v>1.048041666666667</v>
      </c>
      <c r="X29" s="3">
        <v>1</v>
      </c>
      <c r="Y29" s="3">
        <v>99</v>
      </c>
      <c r="Z29" s="3">
        <v>0</v>
      </c>
      <c r="AA29" s="3">
        <v>0</v>
      </c>
    </row>
    <row r="30" spans="1:27">
      <c r="A30" t="s">
        <v>336</v>
      </c>
      <c r="B30" t="s">
        <v>328</v>
      </c>
      <c r="C30" t="s">
        <v>294</v>
      </c>
      <c r="D30" s="3">
        <v>250</v>
      </c>
      <c r="E30" s="3">
        <v>251.53</v>
      </c>
      <c r="F30" s="3">
        <v>28.2</v>
      </c>
      <c r="G30" s="3">
        <v>32</v>
      </c>
      <c r="H30" s="3">
        <v>25.5</v>
      </c>
      <c r="I30" s="3">
        <v>0</v>
      </c>
      <c r="J30" s="3">
        <v>17</v>
      </c>
      <c r="K30" s="4">
        <v>0.5621</v>
      </c>
      <c r="L30" s="3">
        <v>0.581</v>
      </c>
      <c r="M30" s="3">
        <v>0.0055</v>
      </c>
      <c r="N30" s="3">
        <v>-0.1511</v>
      </c>
      <c r="O30" s="3">
        <v>0.4911</v>
      </c>
      <c r="P30" t="s">
        <v>295</v>
      </c>
      <c r="Q30" t="s">
        <v>337</v>
      </c>
      <c r="R30" t="s">
        <v>296</v>
      </c>
      <c r="S30" s="3">
        <v>100</v>
      </c>
      <c r="T30" s="3">
        <v>30.1</v>
      </c>
      <c r="U30" s="4">
        <v>0.1262458471760797</v>
      </c>
      <c r="V30" s="3">
        <v>91</v>
      </c>
      <c r="W30" s="3">
        <v>1.00612</v>
      </c>
      <c r="X30" s="3">
        <v>1</v>
      </c>
      <c r="Y30" s="3">
        <v>23</v>
      </c>
      <c r="Z30" s="3">
        <v>0</v>
      </c>
      <c r="AA30" s="3">
        <v>0</v>
      </c>
    </row>
    <row r="31" spans="1:27">
      <c r="A31" t="s">
        <v>338</v>
      </c>
      <c r="B31" t="s">
        <v>328</v>
      </c>
      <c r="C31" t="s">
        <v>298</v>
      </c>
      <c r="D31" s="3">
        <v>250</v>
      </c>
      <c r="E31" s="3">
        <v>251.53</v>
      </c>
      <c r="F31" s="3">
        <v>24.3</v>
      </c>
      <c r="G31" s="3">
        <v>28</v>
      </c>
      <c r="H31" s="3">
        <v>26.6</v>
      </c>
      <c r="I31" s="3">
        <v>0</v>
      </c>
      <c r="J31" s="3">
        <v>10</v>
      </c>
      <c r="K31" s="4">
        <v>0.5666</v>
      </c>
      <c r="L31" s="3">
        <v>-0.4239</v>
      </c>
      <c r="M31" s="3">
        <v>0.0056</v>
      </c>
      <c r="N31" s="3">
        <v>-0.1539</v>
      </c>
      <c r="O31" s="3">
        <v>0.4913</v>
      </c>
      <c r="P31" t="s">
        <v>295</v>
      </c>
      <c r="Q31" t="s">
        <v>339</v>
      </c>
      <c r="R31" t="s">
        <v>296</v>
      </c>
      <c r="S31" s="3">
        <v>100</v>
      </c>
      <c r="T31" s="3">
        <v>26.15</v>
      </c>
      <c r="U31" s="4">
        <v>0.141491395793499</v>
      </c>
      <c r="V31" s="3">
        <v>91</v>
      </c>
      <c r="W31" s="3">
        <v>1.00612</v>
      </c>
      <c r="X31" s="3">
        <v>1</v>
      </c>
      <c r="Y31" s="3">
        <v>4</v>
      </c>
      <c r="Z31" s="3">
        <v>0</v>
      </c>
      <c r="AA31" s="3">
        <v>0</v>
      </c>
    </row>
    <row r="32" spans="1:27">
      <c r="A32" t="s">
        <v>340</v>
      </c>
      <c r="B32" t="s">
        <v>328</v>
      </c>
      <c r="C32" t="s">
        <v>294</v>
      </c>
      <c r="D32" s="3">
        <v>260</v>
      </c>
      <c r="E32" s="3">
        <v>251.53</v>
      </c>
      <c r="F32" s="3">
        <v>23.5</v>
      </c>
      <c r="G32" s="3">
        <v>27.5</v>
      </c>
      <c r="H32" s="3">
        <v>30.2</v>
      </c>
      <c r="I32" s="3">
        <v>0</v>
      </c>
      <c r="J32" s="3">
        <v>11</v>
      </c>
      <c r="K32" s="4">
        <v>0.5573</v>
      </c>
      <c r="L32" s="3">
        <v>0.5262</v>
      </c>
      <c r="M32" s="3">
        <v>0.0056</v>
      </c>
      <c r="N32" s="3">
        <v>-0.1544</v>
      </c>
      <c r="O32" s="3">
        <v>0.5003</v>
      </c>
      <c r="P32" t="s">
        <v>295</v>
      </c>
      <c r="Q32" t="s">
        <v>341</v>
      </c>
      <c r="R32" t="s">
        <v>296</v>
      </c>
      <c r="S32" s="3">
        <v>100</v>
      </c>
      <c r="T32" s="3">
        <v>25.5</v>
      </c>
      <c r="U32" s="4">
        <v>0.1568627450980392</v>
      </c>
      <c r="V32" s="3">
        <v>91</v>
      </c>
      <c r="W32" s="3">
        <v>0.9674230769230768</v>
      </c>
      <c r="X32" s="3">
        <v>1</v>
      </c>
      <c r="Y32" s="3">
        <v>10</v>
      </c>
      <c r="Z32" s="3">
        <v>0</v>
      </c>
      <c r="AA32" s="3">
        <v>0</v>
      </c>
    </row>
    <row r="33" spans="1:27">
      <c r="A33" t="s">
        <v>342</v>
      </c>
      <c r="B33" t="s">
        <v>328</v>
      </c>
      <c r="C33" t="s">
        <v>298</v>
      </c>
      <c r="D33" s="3">
        <v>260</v>
      </c>
      <c r="E33" s="3">
        <v>251.53</v>
      </c>
      <c r="F33" s="3">
        <v>29.6</v>
      </c>
      <c r="G33" s="3">
        <v>33.5</v>
      </c>
      <c r="H33" s="3">
        <v>25</v>
      </c>
      <c r="I33" s="3">
        <v>0</v>
      </c>
      <c r="J33" s="3">
        <v>1</v>
      </c>
      <c r="K33" s="4">
        <v>0.5628</v>
      </c>
      <c r="L33" s="3">
        <v>-0.4798</v>
      </c>
      <c r="M33" s="3">
        <v>0.0058</v>
      </c>
      <c r="N33" s="3">
        <v>-0.1577</v>
      </c>
      <c r="O33" s="3">
        <v>0.4996</v>
      </c>
      <c r="P33" t="s">
        <v>295</v>
      </c>
      <c r="Q33" t="s">
        <v>343</v>
      </c>
      <c r="R33" t="s">
        <v>296</v>
      </c>
      <c r="S33" s="3">
        <v>100</v>
      </c>
      <c r="T33" s="3">
        <v>31.55</v>
      </c>
      <c r="U33" s="4">
        <v>0.1236133122028525</v>
      </c>
      <c r="V33" s="3">
        <v>91</v>
      </c>
      <c r="W33" s="3">
        <v>0.9674230769230768</v>
      </c>
      <c r="X33" s="3">
        <v>1</v>
      </c>
      <c r="Y33" s="3">
        <v>38</v>
      </c>
      <c r="Z33" s="3">
        <v>0</v>
      </c>
      <c r="AA33" s="3">
        <v>0</v>
      </c>
    </row>
    <row r="34" spans="1:27">
      <c r="A34" t="s">
        <v>344</v>
      </c>
      <c r="B34" t="s">
        <v>328</v>
      </c>
      <c r="C34" t="s">
        <v>294</v>
      </c>
      <c r="D34" s="3">
        <v>270</v>
      </c>
      <c r="E34" s="3">
        <v>251.53</v>
      </c>
      <c r="F34" s="3">
        <v>19.7</v>
      </c>
      <c r="G34" s="3">
        <v>23.5</v>
      </c>
      <c r="H34" s="3">
        <v>17</v>
      </c>
      <c r="I34" s="3">
        <v>0</v>
      </c>
      <c r="J34" s="3">
        <v>3</v>
      </c>
      <c r="K34" s="4">
        <v>0.5611</v>
      </c>
      <c r="L34" s="3">
        <v>0.4733</v>
      </c>
      <c r="M34" s="3">
        <v>0.0056</v>
      </c>
      <c r="N34" s="3">
        <v>-0.1549</v>
      </c>
      <c r="O34" s="3">
        <v>0.5002</v>
      </c>
      <c r="P34" t="s">
        <v>295</v>
      </c>
      <c r="Q34" t="s">
        <v>345</v>
      </c>
      <c r="R34" t="s">
        <v>296</v>
      </c>
      <c r="S34" s="3">
        <v>100</v>
      </c>
      <c r="T34" s="3">
        <v>21.6</v>
      </c>
      <c r="U34" s="4">
        <v>0.1759259259259259</v>
      </c>
      <c r="V34" s="3">
        <v>91</v>
      </c>
      <c r="W34" s="3">
        <v>0.9315925925925926</v>
      </c>
      <c r="X34" s="3">
        <v>1</v>
      </c>
      <c r="Y34" s="3">
        <v>28</v>
      </c>
      <c r="Z34" s="3">
        <v>0</v>
      </c>
      <c r="AA34" s="3">
        <v>0</v>
      </c>
    </row>
    <row r="35" spans="1:27">
      <c r="A35" t="s">
        <v>346</v>
      </c>
      <c r="B35" t="s">
        <v>328</v>
      </c>
      <c r="C35" t="s">
        <v>298</v>
      </c>
      <c r="D35" s="3">
        <v>270</v>
      </c>
      <c r="E35" s="3">
        <v>251.53</v>
      </c>
      <c r="F35" s="3">
        <v>35.6</v>
      </c>
      <c r="G35" s="3">
        <v>39.5</v>
      </c>
      <c r="H35" s="3">
        <v>28.84</v>
      </c>
      <c r="I35" s="3">
        <v>0</v>
      </c>
      <c r="J35" s="3">
        <v>2</v>
      </c>
      <c r="K35" s="4">
        <v>0.5602</v>
      </c>
      <c r="L35" s="3">
        <v>-0.5339</v>
      </c>
      <c r="M35" s="3">
        <v>0.0057</v>
      </c>
      <c r="N35" s="3">
        <v>-0.1587</v>
      </c>
      <c r="O35" s="3">
        <v>0.498</v>
      </c>
      <c r="P35" t="s">
        <v>295</v>
      </c>
      <c r="Q35" t="s">
        <v>347</v>
      </c>
      <c r="R35" t="s">
        <v>296</v>
      </c>
      <c r="S35" s="3">
        <v>100</v>
      </c>
      <c r="T35" s="3">
        <v>37.55</v>
      </c>
      <c r="U35" s="4">
        <v>0.1038615179760319</v>
      </c>
      <c r="V35" s="3">
        <v>91</v>
      </c>
      <c r="W35" s="3">
        <v>0.9315925925925926</v>
      </c>
      <c r="X35" s="3">
        <v>1</v>
      </c>
      <c r="Y35" s="3">
        <v>44</v>
      </c>
      <c r="Z35" s="3">
        <v>0</v>
      </c>
      <c r="AA35" s="3">
        <v>0</v>
      </c>
    </row>
    <row r="36" spans="1:27">
      <c r="A36" t="s">
        <v>348</v>
      </c>
      <c r="B36" t="s">
        <v>328</v>
      </c>
      <c r="C36" t="s">
        <v>294</v>
      </c>
      <c r="D36" s="3">
        <v>280</v>
      </c>
      <c r="E36" s="3">
        <v>251.53</v>
      </c>
      <c r="F36" s="3">
        <v>16.5</v>
      </c>
      <c r="G36" s="3">
        <v>20</v>
      </c>
      <c r="H36" s="3">
        <v>14.54</v>
      </c>
      <c r="I36" s="3">
        <v>0</v>
      </c>
      <c r="J36" s="3">
        <v>8</v>
      </c>
      <c r="K36" s="4">
        <v>0.5558999999999999</v>
      </c>
      <c r="L36" s="3">
        <v>0.4233</v>
      </c>
      <c r="M36" s="3">
        <v>0.0055</v>
      </c>
      <c r="N36" s="3">
        <v>-0.1529</v>
      </c>
      <c r="O36" s="3">
        <v>0.4921</v>
      </c>
      <c r="P36" t="s">
        <v>295</v>
      </c>
      <c r="Q36" t="s">
        <v>349</v>
      </c>
      <c r="R36" t="s">
        <v>296</v>
      </c>
      <c r="S36" s="3">
        <v>100</v>
      </c>
      <c r="T36" s="3">
        <v>18.25</v>
      </c>
      <c r="U36" s="4">
        <v>0.1917808219178082</v>
      </c>
      <c r="V36" s="3">
        <v>91</v>
      </c>
      <c r="W36" s="3">
        <v>0.8983214285714286</v>
      </c>
      <c r="X36" s="3">
        <v>1</v>
      </c>
      <c r="Y36" s="3">
        <v>15</v>
      </c>
      <c r="Z36" s="3">
        <v>0</v>
      </c>
      <c r="AA36" s="3">
        <v>0</v>
      </c>
    </row>
    <row r="37" spans="1:27">
      <c r="A37" t="s">
        <v>350</v>
      </c>
      <c r="B37" t="s">
        <v>328</v>
      </c>
      <c r="C37" t="s">
        <v>298</v>
      </c>
      <c r="D37" s="3">
        <v>280</v>
      </c>
      <c r="E37" s="3">
        <v>251.53</v>
      </c>
      <c r="F37" s="3">
        <v>42.4</v>
      </c>
      <c r="G37" s="3">
        <v>46.5</v>
      </c>
      <c r="H37" s="3">
        <v>35</v>
      </c>
      <c r="I37" s="3">
        <v>0</v>
      </c>
      <c r="J37" s="3">
        <v>52</v>
      </c>
      <c r="K37" s="4">
        <v>0.5659</v>
      </c>
      <c r="L37" s="3">
        <v>-0.5853</v>
      </c>
      <c r="M37" s="3">
        <v>0.0056</v>
      </c>
      <c r="N37" s="3">
        <v>-0.1572</v>
      </c>
      <c r="O37" s="3">
        <v>0.4877</v>
      </c>
      <c r="P37" t="s">
        <v>295</v>
      </c>
      <c r="Q37" t="s">
        <v>351</v>
      </c>
      <c r="R37" t="s">
        <v>296</v>
      </c>
      <c r="S37" s="3">
        <v>100</v>
      </c>
      <c r="T37" s="3">
        <v>44.45</v>
      </c>
      <c r="U37" s="4">
        <v>0.09223847019122609</v>
      </c>
      <c r="V37" s="3">
        <v>91</v>
      </c>
      <c r="W37" s="3">
        <v>0.8983214285714286</v>
      </c>
      <c r="X37" s="3">
        <v>1</v>
      </c>
      <c r="Y37" s="3">
        <v>39</v>
      </c>
      <c r="Z37" s="3">
        <v>0</v>
      </c>
      <c r="AA37" s="3">
        <v>1</v>
      </c>
    </row>
    <row r="38" spans="1:27">
      <c r="A38" t="s">
        <v>352</v>
      </c>
      <c r="B38" t="s">
        <v>353</v>
      </c>
      <c r="C38" t="s">
        <v>294</v>
      </c>
      <c r="D38" s="3">
        <v>230</v>
      </c>
      <c r="E38" s="3">
        <v>251.53</v>
      </c>
      <c r="F38" s="3">
        <v>49.6</v>
      </c>
      <c r="G38" s="3">
        <v>54</v>
      </c>
      <c r="H38" s="3">
        <v>48</v>
      </c>
      <c r="I38" s="3">
        <v>0</v>
      </c>
      <c r="J38" s="3">
        <v>9</v>
      </c>
      <c r="K38" s="4">
        <v>0.5558</v>
      </c>
      <c r="L38" s="3">
        <v>0.6871</v>
      </c>
      <c r="M38" s="3">
        <v>0.0036</v>
      </c>
      <c r="N38" s="3">
        <v>-0.0945</v>
      </c>
      <c r="O38" s="3">
        <v>0.6307</v>
      </c>
      <c r="P38" t="s">
        <v>295</v>
      </c>
      <c r="Q38" t="s">
        <v>354</v>
      </c>
      <c r="R38" t="s">
        <v>296</v>
      </c>
      <c r="S38" s="3">
        <v>100</v>
      </c>
      <c r="T38" s="3">
        <v>51.8</v>
      </c>
      <c r="U38" s="4">
        <v>0.0849420849420849</v>
      </c>
      <c r="V38" s="3">
        <v>182</v>
      </c>
      <c r="W38" s="3">
        <v>1.093608695652174</v>
      </c>
      <c r="X38" s="3">
        <v>1</v>
      </c>
      <c r="Y38" s="3">
        <v>14</v>
      </c>
      <c r="Z38" s="3">
        <v>0</v>
      </c>
      <c r="AA38" s="3">
        <v>0</v>
      </c>
    </row>
    <row r="39" spans="1:27">
      <c r="A39" t="s">
        <v>355</v>
      </c>
      <c r="B39" t="s">
        <v>353</v>
      </c>
      <c r="C39" t="s">
        <v>298</v>
      </c>
      <c r="D39" s="3">
        <v>230</v>
      </c>
      <c r="E39" s="3">
        <v>251.53</v>
      </c>
      <c r="F39" s="3">
        <v>23.5</v>
      </c>
      <c r="G39" s="3">
        <v>27.8</v>
      </c>
      <c r="H39" s="3">
        <v>0</v>
      </c>
      <c r="I39" s="3">
        <v>0</v>
      </c>
      <c r="J39" s="3">
        <v>0</v>
      </c>
      <c r="K39" s="4">
        <v>0.5597</v>
      </c>
      <c r="L39" s="3">
        <v>-0.3192</v>
      </c>
      <c r="M39" s="3">
        <v>0.0037</v>
      </c>
      <c r="N39" s="3">
        <v>-0.0983</v>
      </c>
      <c r="O39" s="3">
        <v>0.6334</v>
      </c>
      <c r="P39" t="s">
        <v>295</v>
      </c>
      <c r="Q39" t="s">
        <v>105</v>
      </c>
      <c r="R39" t="s">
        <v>296</v>
      </c>
      <c r="S39" s="3">
        <v>100</v>
      </c>
      <c r="T39" s="3">
        <v>25.65</v>
      </c>
      <c r="U39" s="4">
        <v>0.1676413255360624</v>
      </c>
      <c r="V39" s="3">
        <v>182</v>
      </c>
      <c r="W39" s="3">
        <v>1.093608695652174</v>
      </c>
      <c r="X39" s="3">
        <v>1</v>
      </c>
      <c r="Y39" t="s">
        <v>105</v>
      </c>
      <c r="Z39" s="3">
        <v>0</v>
      </c>
      <c r="AA39" s="3">
        <v>0</v>
      </c>
    </row>
    <row r="40" spans="1:27">
      <c r="A40" t="s">
        <v>356</v>
      </c>
      <c r="B40" t="s">
        <v>353</v>
      </c>
      <c r="C40" t="s">
        <v>294</v>
      </c>
      <c r="D40" s="3">
        <v>240</v>
      </c>
      <c r="E40" s="3">
        <v>251.53</v>
      </c>
      <c r="F40" s="3">
        <v>44.7</v>
      </c>
      <c r="G40" s="3">
        <v>49.2</v>
      </c>
      <c r="H40" s="3">
        <v>36.6</v>
      </c>
      <c r="I40" s="3">
        <v>0</v>
      </c>
      <c r="J40" s="3">
        <v>4</v>
      </c>
      <c r="K40" s="4">
        <v>0.5578</v>
      </c>
      <c r="L40" s="3">
        <v>0.6481</v>
      </c>
      <c r="M40" s="3">
        <v>0.0037</v>
      </c>
      <c r="N40" s="3">
        <v>-0.09950000000000001</v>
      </c>
      <c r="O40" s="3">
        <v>0.6605</v>
      </c>
      <c r="P40" t="s">
        <v>295</v>
      </c>
      <c r="Q40" t="s">
        <v>357</v>
      </c>
      <c r="R40" t="s">
        <v>296</v>
      </c>
      <c r="S40" s="3">
        <v>100</v>
      </c>
      <c r="T40" s="3">
        <v>46.95</v>
      </c>
      <c r="U40" s="4">
        <v>0.09584664536741209</v>
      </c>
      <c r="V40" s="3">
        <v>182</v>
      </c>
      <c r="W40" s="3">
        <v>1.048041666666667</v>
      </c>
      <c r="X40" s="3">
        <v>1</v>
      </c>
      <c r="Y40" s="3">
        <v>15</v>
      </c>
      <c r="Z40" s="3">
        <v>0</v>
      </c>
      <c r="AA40" s="3">
        <v>0</v>
      </c>
    </row>
    <row r="41" spans="1:27">
      <c r="A41" t="s">
        <v>358</v>
      </c>
      <c r="B41" t="s">
        <v>353</v>
      </c>
      <c r="C41" t="s">
        <v>298</v>
      </c>
      <c r="D41" s="3">
        <v>240</v>
      </c>
      <c r="E41" s="3">
        <v>251.53</v>
      </c>
      <c r="F41" s="3">
        <v>28.8</v>
      </c>
      <c r="G41" s="3">
        <v>32.7</v>
      </c>
      <c r="H41" s="3">
        <v>0</v>
      </c>
      <c r="I41" s="3">
        <v>0</v>
      </c>
      <c r="J41" s="3">
        <v>0</v>
      </c>
      <c r="K41" s="4">
        <v>0.5637</v>
      </c>
      <c r="L41" s="3">
        <v>-0.3596</v>
      </c>
      <c r="M41" s="3">
        <v>0.0039</v>
      </c>
      <c r="N41" s="3">
        <v>-0.1035</v>
      </c>
      <c r="O41" s="3">
        <v>0.6627999999999999</v>
      </c>
      <c r="P41" t="s">
        <v>295</v>
      </c>
      <c r="Q41" t="s">
        <v>105</v>
      </c>
      <c r="R41" t="s">
        <v>296</v>
      </c>
      <c r="S41" s="3">
        <v>100</v>
      </c>
      <c r="T41" s="3">
        <v>30.75</v>
      </c>
      <c r="U41" s="4">
        <v>0.1268292682926829</v>
      </c>
      <c r="V41" s="3">
        <v>182</v>
      </c>
      <c r="W41" s="3">
        <v>1.048041666666667</v>
      </c>
      <c r="X41" s="3">
        <v>1</v>
      </c>
      <c r="Y41" t="s">
        <v>105</v>
      </c>
      <c r="Z41" s="3">
        <v>0</v>
      </c>
      <c r="AA41" s="3">
        <v>0</v>
      </c>
    </row>
    <row r="42" spans="1:27">
      <c r="A42" t="s">
        <v>359</v>
      </c>
      <c r="B42" t="s">
        <v>353</v>
      </c>
      <c r="C42" t="s">
        <v>294</v>
      </c>
      <c r="D42" s="3">
        <v>250</v>
      </c>
      <c r="E42" s="3">
        <v>251.53</v>
      </c>
      <c r="F42" s="3">
        <v>40.4</v>
      </c>
      <c r="G42" s="3">
        <v>44.8</v>
      </c>
      <c r="H42" s="3">
        <v>40.2</v>
      </c>
      <c r="I42" s="3">
        <v>0</v>
      </c>
      <c r="J42" s="3">
        <v>12</v>
      </c>
      <c r="K42" s="4">
        <v>0.5608</v>
      </c>
      <c r="L42" s="3">
        <v>0.6092</v>
      </c>
      <c r="M42" s="3">
        <v>0.0039</v>
      </c>
      <c r="N42" s="3">
        <v>-0.1034</v>
      </c>
      <c r="O42" s="3">
        <v>0.6828</v>
      </c>
      <c r="P42" t="s">
        <v>295</v>
      </c>
      <c r="Q42" t="s">
        <v>360</v>
      </c>
      <c r="R42" t="s">
        <v>296</v>
      </c>
      <c r="S42" s="3">
        <v>100</v>
      </c>
      <c r="T42" s="3">
        <v>42.6</v>
      </c>
      <c r="U42" s="4">
        <v>0.1032863849765258</v>
      </c>
      <c r="V42" s="3">
        <v>182</v>
      </c>
      <c r="W42" s="3">
        <v>1.00612</v>
      </c>
      <c r="X42" s="3">
        <v>1</v>
      </c>
      <c r="Y42" s="3">
        <v>4</v>
      </c>
      <c r="Z42" s="3">
        <v>0</v>
      </c>
      <c r="AA42" s="3">
        <v>0</v>
      </c>
    </row>
    <row r="43" spans="1:27">
      <c r="A43" t="s">
        <v>361</v>
      </c>
      <c r="B43" t="s">
        <v>353</v>
      </c>
      <c r="C43" t="s">
        <v>298</v>
      </c>
      <c r="D43" s="3">
        <v>250</v>
      </c>
      <c r="E43" s="3">
        <v>251.53</v>
      </c>
      <c r="F43" s="3">
        <v>34.3</v>
      </c>
      <c r="G43" s="3">
        <v>38.2</v>
      </c>
      <c r="H43" s="3">
        <v>0</v>
      </c>
      <c r="I43" s="3">
        <v>0</v>
      </c>
      <c r="J43" s="3">
        <v>0</v>
      </c>
      <c r="K43" s="4">
        <v>0.5672</v>
      </c>
      <c r="L43" s="3">
        <v>-0.3997</v>
      </c>
      <c r="M43" s="3">
        <v>0.004</v>
      </c>
      <c r="N43" s="3">
        <v>-0.1075</v>
      </c>
      <c r="O43" s="3">
        <v>0.6838</v>
      </c>
      <c r="P43" t="s">
        <v>295</v>
      </c>
      <c r="Q43" t="s">
        <v>105</v>
      </c>
      <c r="R43" t="s">
        <v>296</v>
      </c>
      <c r="S43" s="3">
        <v>100</v>
      </c>
      <c r="T43" s="3">
        <v>36.25</v>
      </c>
      <c r="U43" s="4">
        <v>0.1075862068965518</v>
      </c>
      <c r="V43" s="3">
        <v>182</v>
      </c>
      <c r="W43" s="3">
        <v>1.00612</v>
      </c>
      <c r="X43" s="3">
        <v>1</v>
      </c>
      <c r="Y43" t="s">
        <v>105</v>
      </c>
      <c r="Z43" s="3">
        <v>0</v>
      </c>
      <c r="AA43" s="3">
        <v>0</v>
      </c>
    </row>
    <row r="44" spans="1:27">
      <c r="A44" t="s">
        <v>362</v>
      </c>
      <c r="B44" t="s">
        <v>353</v>
      </c>
      <c r="C44" t="s">
        <v>294</v>
      </c>
      <c r="D44" s="3">
        <v>260</v>
      </c>
      <c r="E44" s="3">
        <v>251.53</v>
      </c>
      <c r="F44" s="3">
        <v>36.4</v>
      </c>
      <c r="G44" s="3">
        <v>40.9</v>
      </c>
      <c r="H44" s="3">
        <v>43.35</v>
      </c>
      <c r="I44" s="3">
        <v>0</v>
      </c>
      <c r="J44" s="3">
        <v>0</v>
      </c>
      <c r="K44" s="4">
        <v>0.5625</v>
      </c>
      <c r="L44" s="3">
        <v>0.5711000000000001</v>
      </c>
      <c r="M44" s="3">
        <v>0.0039</v>
      </c>
      <c r="N44" s="3">
        <v>-0.1062</v>
      </c>
      <c r="O44" s="3">
        <v>0.6981000000000001</v>
      </c>
      <c r="P44" t="s">
        <v>295</v>
      </c>
      <c r="Q44" t="s">
        <v>363</v>
      </c>
      <c r="R44" t="s">
        <v>296</v>
      </c>
      <c r="S44" s="3">
        <v>100</v>
      </c>
      <c r="T44" s="3">
        <v>38.65</v>
      </c>
      <c r="U44" s="4">
        <v>0.1164294954721863</v>
      </c>
      <c r="V44" s="3">
        <v>182</v>
      </c>
      <c r="W44" s="3">
        <v>0.9674230769230768</v>
      </c>
      <c r="X44" s="3">
        <v>1</v>
      </c>
      <c r="Y44" s="3">
        <v>7</v>
      </c>
      <c r="Z44" s="3">
        <v>0</v>
      </c>
      <c r="AA44" s="3">
        <v>0</v>
      </c>
    </row>
    <row r="45" spans="1:27">
      <c r="A45" t="s">
        <v>364</v>
      </c>
      <c r="B45" t="s">
        <v>353</v>
      </c>
      <c r="C45" t="s">
        <v>298</v>
      </c>
      <c r="D45" s="3">
        <v>260</v>
      </c>
      <c r="E45" s="3">
        <v>251.53</v>
      </c>
      <c r="F45" s="3">
        <v>39.8</v>
      </c>
      <c r="G45" s="3">
        <v>44</v>
      </c>
      <c r="H45" s="3">
        <v>0</v>
      </c>
      <c r="I45" s="3">
        <v>0</v>
      </c>
      <c r="J45" s="3">
        <v>0</v>
      </c>
      <c r="K45" s="4">
        <v>0.5669</v>
      </c>
      <c r="L45" s="3">
        <v>-0.4393</v>
      </c>
      <c r="M45" s="3">
        <v>0.0041</v>
      </c>
      <c r="N45" s="3">
        <v>-0.1104</v>
      </c>
      <c r="O45" s="3">
        <v>0.6977</v>
      </c>
      <c r="P45" t="s">
        <v>295</v>
      </c>
      <c r="Q45" t="s">
        <v>105</v>
      </c>
      <c r="R45" t="s">
        <v>296</v>
      </c>
      <c r="S45" s="3">
        <v>100</v>
      </c>
      <c r="T45" s="3">
        <v>41.9</v>
      </c>
      <c r="U45" s="4">
        <v>0.1002386634844869</v>
      </c>
      <c r="V45" s="3">
        <v>182</v>
      </c>
      <c r="W45" s="3">
        <v>0.9674230769230768</v>
      </c>
      <c r="X45" s="3">
        <v>1</v>
      </c>
      <c r="Y45" t="s">
        <v>105</v>
      </c>
      <c r="Z45" s="3">
        <v>0</v>
      </c>
      <c r="AA45" s="3">
        <v>0</v>
      </c>
    </row>
    <row r="46" spans="1:27">
      <c r="A46" t="s">
        <v>365</v>
      </c>
      <c r="B46" t="s">
        <v>353</v>
      </c>
      <c r="C46" t="s">
        <v>294</v>
      </c>
      <c r="D46" s="3">
        <v>270</v>
      </c>
      <c r="E46" s="3">
        <v>251.53</v>
      </c>
      <c r="F46" s="3">
        <v>32.7</v>
      </c>
      <c r="G46" s="3">
        <v>36.9</v>
      </c>
      <c r="H46" s="3">
        <v>62.8</v>
      </c>
      <c r="I46" s="3">
        <v>0</v>
      </c>
      <c r="J46" s="3">
        <v>1</v>
      </c>
      <c r="K46" s="4">
        <v>0.5624</v>
      </c>
      <c r="L46" s="3">
        <v>0.534</v>
      </c>
      <c r="M46" s="3">
        <v>0.004</v>
      </c>
      <c r="N46" s="3">
        <v>-0.108</v>
      </c>
      <c r="O46" s="3">
        <v>0.7066</v>
      </c>
      <c r="P46" t="s">
        <v>295</v>
      </c>
      <c r="Q46" t="s">
        <v>366</v>
      </c>
      <c r="R46" t="s">
        <v>296</v>
      </c>
      <c r="S46" s="3">
        <v>100</v>
      </c>
      <c r="T46" s="3">
        <v>34.8</v>
      </c>
      <c r="U46" s="4">
        <v>0.1206896551724136</v>
      </c>
      <c r="V46" s="3">
        <v>182</v>
      </c>
      <c r="W46" s="3">
        <v>0.9315925925925926</v>
      </c>
      <c r="X46" s="3">
        <v>1</v>
      </c>
      <c r="Y46" s="3">
        <v>39</v>
      </c>
      <c r="Z46" s="3">
        <v>0</v>
      </c>
      <c r="AA46" s="3">
        <v>0</v>
      </c>
    </row>
    <row r="47" spans="1:27">
      <c r="A47" t="s">
        <v>367</v>
      </c>
      <c r="B47" t="s">
        <v>353</v>
      </c>
      <c r="C47" t="s">
        <v>298</v>
      </c>
      <c r="D47" s="3">
        <v>270</v>
      </c>
      <c r="E47" s="3">
        <v>251.53</v>
      </c>
      <c r="F47" s="3">
        <v>46</v>
      </c>
      <c r="G47" s="3">
        <v>50</v>
      </c>
      <c r="H47" s="3">
        <v>0</v>
      </c>
      <c r="I47" s="3">
        <v>0</v>
      </c>
      <c r="J47" s="3">
        <v>0</v>
      </c>
      <c r="K47" s="4">
        <v>0.5673</v>
      </c>
      <c r="L47" s="3">
        <v>-0.4782</v>
      </c>
      <c r="M47" s="3">
        <v>0.0041</v>
      </c>
      <c r="N47" s="3">
        <v>-0.1124</v>
      </c>
      <c r="O47" s="3">
        <v>0.7034</v>
      </c>
      <c r="P47" t="s">
        <v>295</v>
      </c>
      <c r="Q47" t="s">
        <v>105</v>
      </c>
      <c r="R47" t="s">
        <v>296</v>
      </c>
      <c r="S47" s="3">
        <v>100</v>
      </c>
      <c r="T47" s="3">
        <v>48</v>
      </c>
      <c r="U47" s="4">
        <v>0.0833333333333333</v>
      </c>
      <c r="V47" s="3">
        <v>182</v>
      </c>
      <c r="W47" s="3">
        <v>0.9315925925925926</v>
      </c>
      <c r="X47" s="3">
        <v>1</v>
      </c>
      <c r="Y47" t="s">
        <v>105</v>
      </c>
      <c r="Z47" s="3">
        <v>0</v>
      </c>
      <c r="AA47" s="3">
        <v>0</v>
      </c>
    </row>
    <row r="48" spans="1:27">
      <c r="A48" t="s">
        <v>368</v>
      </c>
      <c r="B48" t="s">
        <v>353</v>
      </c>
      <c r="C48" t="s">
        <v>294</v>
      </c>
      <c r="D48" s="3">
        <v>280</v>
      </c>
      <c r="E48" s="3">
        <v>251.53</v>
      </c>
      <c r="F48" s="3">
        <v>29</v>
      </c>
      <c r="G48" s="3">
        <v>33.5</v>
      </c>
      <c r="H48" s="3">
        <v>55.15</v>
      </c>
      <c r="I48" s="3">
        <v>0</v>
      </c>
      <c r="J48" s="3">
        <v>1</v>
      </c>
      <c r="K48" s="4">
        <v>0.5646</v>
      </c>
      <c r="L48" s="3">
        <v>0.4983</v>
      </c>
      <c r="M48" s="3">
        <v>0.004</v>
      </c>
      <c r="N48" s="3">
        <v>-0.1089</v>
      </c>
      <c r="O48" s="3">
        <v>0.709</v>
      </c>
      <c r="P48" t="s">
        <v>295</v>
      </c>
      <c r="Q48" t="s">
        <v>369</v>
      </c>
      <c r="R48" t="s">
        <v>296</v>
      </c>
      <c r="S48" s="3">
        <v>100</v>
      </c>
      <c r="T48" s="3">
        <v>31.25</v>
      </c>
      <c r="U48" s="4">
        <v>0.144</v>
      </c>
      <c r="V48" s="3">
        <v>182</v>
      </c>
      <c r="W48" s="3">
        <v>0.8983214285714286</v>
      </c>
      <c r="X48" s="3">
        <v>1</v>
      </c>
      <c r="Y48" s="3">
        <v>44</v>
      </c>
      <c r="Z48" s="3">
        <v>0</v>
      </c>
      <c r="AA48" s="3">
        <v>0</v>
      </c>
    </row>
    <row r="49" spans="1:27">
      <c r="A49" t="s">
        <v>370</v>
      </c>
      <c r="B49" t="s">
        <v>353</v>
      </c>
      <c r="C49" t="s">
        <v>298</v>
      </c>
      <c r="D49" s="3">
        <v>280</v>
      </c>
      <c r="E49" s="3">
        <v>251.53</v>
      </c>
      <c r="F49" s="3">
        <v>52.5</v>
      </c>
      <c r="G49" s="3">
        <v>56.5</v>
      </c>
      <c r="H49" s="3">
        <v>46.1</v>
      </c>
      <c r="I49" s="3">
        <v>0</v>
      </c>
      <c r="J49" s="3">
        <v>3</v>
      </c>
      <c r="K49" s="4">
        <v>0.5689</v>
      </c>
      <c r="L49" s="3">
        <v>-0.5154</v>
      </c>
      <c r="M49" s="3">
        <v>0.0042</v>
      </c>
      <c r="N49" s="3">
        <v>-0.1134</v>
      </c>
      <c r="O49" s="3">
        <v>0.7043</v>
      </c>
      <c r="P49" t="s">
        <v>295</v>
      </c>
      <c r="Q49" t="s">
        <v>371</v>
      </c>
      <c r="R49" t="s">
        <v>296</v>
      </c>
      <c r="S49" s="3">
        <v>100</v>
      </c>
      <c r="T49" s="3">
        <v>54.5</v>
      </c>
      <c r="U49" s="4">
        <v>0.073394495412844</v>
      </c>
      <c r="V49" s="3">
        <v>182</v>
      </c>
      <c r="W49" s="3">
        <v>0.8983214285714286</v>
      </c>
      <c r="X49" s="3">
        <v>1</v>
      </c>
      <c r="Y49" s="3">
        <v>43</v>
      </c>
      <c r="Z49" s="3">
        <v>0</v>
      </c>
      <c r="AA49" s="3">
        <v>0</v>
      </c>
    </row>
  </sheetData>
  <autoFilter ref="A1:AA49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3" width="17.7109375" customWidth="1"/>
  </cols>
  <sheetData>
    <row r="1" spans="1:13" ht="32" customHeight="1">
      <c r="A1" s="1" t="s">
        <v>266</v>
      </c>
      <c r="B1" s="1" t="s">
        <v>372</v>
      </c>
      <c r="C1" s="1" t="s">
        <v>290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</row>
    <row r="2" spans="1:13">
      <c r="A2" t="s">
        <v>383</v>
      </c>
      <c r="B2" s="3">
        <v>98</v>
      </c>
      <c r="C2" s="3">
        <v>0</v>
      </c>
      <c r="D2" s="3">
        <v>12</v>
      </c>
      <c r="E2" s="3">
        <v>2</v>
      </c>
      <c r="F2" s="3">
        <v>965</v>
      </c>
      <c r="G2" s="3">
        <v>120</v>
      </c>
      <c r="H2" s="3">
        <v>0.1666666666666666</v>
      </c>
      <c r="I2" s="3">
        <v>0.1243523316062176</v>
      </c>
      <c r="J2" s="3">
        <v>1.86046511627907</v>
      </c>
      <c r="K2" s="3">
        <v>250</v>
      </c>
      <c r="L2" s="4">
        <v>1.2817</v>
      </c>
      <c r="M2" s="3">
        <v>0</v>
      </c>
    </row>
    <row r="3" spans="1:13">
      <c r="A3" t="s">
        <v>293</v>
      </c>
      <c r="B3" s="3">
        <v>42</v>
      </c>
      <c r="C3" s="3">
        <v>0</v>
      </c>
      <c r="D3" s="3">
        <v>8</v>
      </c>
      <c r="E3" s="3">
        <v>0</v>
      </c>
      <c r="F3" s="3">
        <v>32</v>
      </c>
      <c r="G3" s="3">
        <v>33</v>
      </c>
      <c r="H3" s="3">
        <v>0</v>
      </c>
      <c r="I3" s="3">
        <v>1.03125</v>
      </c>
      <c r="J3" s="3">
        <v>0.2740704260034474</v>
      </c>
      <c r="K3" s="3">
        <v>250</v>
      </c>
      <c r="L3" s="4">
        <v>0.5142</v>
      </c>
      <c r="M3" s="3">
        <v>28</v>
      </c>
    </row>
    <row r="4" spans="1:13">
      <c r="A4" t="s">
        <v>315</v>
      </c>
      <c r="B4" s="3">
        <v>34</v>
      </c>
      <c r="C4" s="3">
        <v>0</v>
      </c>
      <c r="D4" s="3">
        <v>0</v>
      </c>
      <c r="E4" s="3">
        <v>3</v>
      </c>
      <c r="F4" s="3">
        <v>0</v>
      </c>
      <c r="G4" s="3">
        <v>0</v>
      </c>
      <c r="H4" t="s">
        <v>105</v>
      </c>
      <c r="I4" t="s">
        <v>105</v>
      </c>
      <c r="J4" s="3">
        <v>0.1734539969834087</v>
      </c>
      <c r="K4" s="3">
        <v>250</v>
      </c>
      <c r="L4" s="4">
        <v>0.57315</v>
      </c>
      <c r="M4" s="3">
        <v>63</v>
      </c>
    </row>
    <row r="5" spans="1:13">
      <c r="A5" t="s">
        <v>328</v>
      </c>
      <c r="B5" s="3">
        <v>92</v>
      </c>
      <c r="C5" s="3">
        <v>0</v>
      </c>
      <c r="D5" s="3">
        <v>0</v>
      </c>
      <c r="E5" s="3">
        <v>3</v>
      </c>
      <c r="F5" s="3">
        <v>371</v>
      </c>
      <c r="G5" s="3">
        <v>197</v>
      </c>
      <c r="H5" t="s">
        <v>105</v>
      </c>
      <c r="I5" s="3">
        <v>0.5309973045822103</v>
      </c>
      <c r="J5" s="3">
        <v>0.1338686214847894</v>
      </c>
      <c r="K5" s="3">
        <v>250</v>
      </c>
      <c r="L5" s="4">
        <v>0.56435</v>
      </c>
      <c r="M5" s="3">
        <v>91</v>
      </c>
    </row>
    <row r="6" spans="1:13">
      <c r="A6" t="s">
        <v>353</v>
      </c>
      <c r="B6" s="3">
        <v>86</v>
      </c>
      <c r="C6" s="3">
        <v>0</v>
      </c>
      <c r="D6" s="3">
        <v>0</v>
      </c>
      <c r="E6" s="3">
        <v>4</v>
      </c>
      <c r="F6" s="3">
        <v>86</v>
      </c>
      <c r="G6" s="3">
        <v>36</v>
      </c>
      <c r="H6" t="s">
        <v>105</v>
      </c>
      <c r="I6" s="3">
        <v>0.4186046511627907</v>
      </c>
      <c r="J6" s="3">
        <v>0.1054362959365388</v>
      </c>
      <c r="K6" s="3">
        <v>250</v>
      </c>
      <c r="L6" s="4">
        <v>0.5640000000000001</v>
      </c>
      <c r="M6" s="3">
        <v>182</v>
      </c>
    </row>
  </sheetData>
  <autoFilter ref="A1:M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3" width="17.7109375" customWidth="1"/>
  </cols>
  <sheetData>
    <row r="1" spans="1:13" ht="32" customHeight="1">
      <c r="A1" s="1" t="s">
        <v>384</v>
      </c>
      <c r="B1" s="1" t="s">
        <v>385</v>
      </c>
      <c r="C1" s="1" t="s">
        <v>386</v>
      </c>
      <c r="D1" s="1" t="s">
        <v>387</v>
      </c>
      <c r="E1" s="1" t="s">
        <v>29</v>
      </c>
      <c r="F1" s="1" t="s">
        <v>30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</row>
    <row r="2" spans="1:13">
      <c r="A2" t="s">
        <v>31</v>
      </c>
      <c r="B2" t="s">
        <v>395</v>
      </c>
      <c r="C2" t="s">
        <v>396</v>
      </c>
      <c r="D2" t="s">
        <v>397</v>
      </c>
      <c r="E2" t="s">
        <v>89</v>
      </c>
      <c r="F2" t="s">
        <v>90</v>
      </c>
      <c r="G2" s="3">
        <v>1510644000</v>
      </c>
      <c r="H2" t="s">
        <v>398</v>
      </c>
      <c r="I2" s="3">
        <v>2023</v>
      </c>
      <c r="J2" t="s">
        <v>399</v>
      </c>
      <c r="K2" t="s">
        <v>400</v>
      </c>
      <c r="L2" t="s">
        <v>243</v>
      </c>
      <c r="M2" t="s">
        <v>401</v>
      </c>
    </row>
    <row r="3" spans="1:13">
      <c r="A3" t="s">
        <v>32</v>
      </c>
      <c r="B3" t="s">
        <v>402</v>
      </c>
      <c r="C3" t="s">
        <v>396</v>
      </c>
      <c r="D3" t="s">
        <v>397</v>
      </c>
      <c r="E3" t="s">
        <v>89</v>
      </c>
      <c r="F3" t="s">
        <v>90</v>
      </c>
      <c r="G3" s="3">
        <v>283762000</v>
      </c>
      <c r="H3" t="s">
        <v>398</v>
      </c>
      <c r="I3" s="3">
        <v>2023</v>
      </c>
      <c r="J3" t="s">
        <v>399</v>
      </c>
      <c r="K3" t="s">
        <v>400</v>
      </c>
      <c r="L3" t="s">
        <v>243</v>
      </c>
      <c r="M3" t="s">
        <v>401</v>
      </c>
    </row>
    <row r="4" spans="1:13">
      <c r="A4" t="s">
        <v>33</v>
      </c>
      <c r="B4" t="s">
        <v>403</v>
      </c>
      <c r="C4" t="s">
        <v>396</v>
      </c>
      <c r="D4" t="s">
        <v>397</v>
      </c>
      <c r="E4" t="s">
        <v>89</v>
      </c>
      <c r="F4" t="s">
        <v>90</v>
      </c>
      <c r="G4" s="3">
        <v>77111000</v>
      </c>
      <c r="H4" t="s">
        <v>398</v>
      </c>
      <c r="I4" s="3">
        <v>2023</v>
      </c>
      <c r="J4" t="s">
        <v>399</v>
      </c>
      <c r="K4" t="s">
        <v>400</v>
      </c>
      <c r="L4" t="s">
        <v>243</v>
      </c>
      <c r="M4" t="s">
        <v>401</v>
      </c>
    </row>
    <row r="5" spans="1:13">
      <c r="A5" t="s">
        <v>34</v>
      </c>
      <c r="B5" t="s">
        <v>404</v>
      </c>
      <c r="C5" t="s">
        <v>396</v>
      </c>
      <c r="D5" t="s">
        <v>397</v>
      </c>
      <c r="E5" t="s">
        <v>89</v>
      </c>
      <c r="F5" t="s">
        <v>90</v>
      </c>
      <c r="G5" s="3">
        <v>72474000</v>
      </c>
      <c r="H5" t="s">
        <v>398</v>
      </c>
      <c r="I5" s="3">
        <v>2023</v>
      </c>
      <c r="J5" t="s">
        <v>399</v>
      </c>
      <c r="K5" t="s">
        <v>400</v>
      </c>
      <c r="L5" t="s">
        <v>243</v>
      </c>
      <c r="M5" t="s">
        <v>401</v>
      </c>
    </row>
    <row r="6" spans="1:13">
      <c r="A6" t="s">
        <v>35</v>
      </c>
      <c r="B6" t="s">
        <v>405</v>
      </c>
      <c r="C6" t="s">
        <v>396</v>
      </c>
      <c r="D6" t="s">
        <v>397</v>
      </c>
      <c r="E6" t="s">
        <v>89</v>
      </c>
      <c r="F6" t="s">
        <v>90</v>
      </c>
      <c r="G6" s="3">
        <v>4851000</v>
      </c>
      <c r="H6" t="s">
        <v>398</v>
      </c>
      <c r="I6" s="3">
        <v>2023</v>
      </c>
      <c r="J6" t="s">
        <v>399</v>
      </c>
      <c r="K6" t="s">
        <v>400</v>
      </c>
      <c r="L6" t="s">
        <v>243</v>
      </c>
      <c r="M6" t="s">
        <v>401</v>
      </c>
    </row>
    <row r="7" spans="1:13">
      <c r="A7" t="s">
        <v>36</v>
      </c>
      <c r="B7" t="s">
        <v>406</v>
      </c>
      <c r="C7" t="s">
        <v>105</v>
      </c>
      <c r="D7" t="s">
        <v>397</v>
      </c>
      <c r="E7" t="s">
        <v>89</v>
      </c>
      <c r="F7" t="s">
        <v>90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</row>
    <row r="8" spans="1:13">
      <c r="A8" t="s">
        <v>37</v>
      </c>
      <c r="B8" t="s">
        <v>407</v>
      </c>
      <c r="C8" t="s">
        <v>396</v>
      </c>
      <c r="D8" t="s">
        <v>397</v>
      </c>
      <c r="E8" t="s">
        <v>89</v>
      </c>
      <c r="F8" t="s">
        <v>90</v>
      </c>
      <c r="G8" s="3">
        <v>90241000</v>
      </c>
      <c r="H8" t="s">
        <v>398</v>
      </c>
      <c r="I8" s="3">
        <v>2023</v>
      </c>
      <c r="J8" t="s">
        <v>399</v>
      </c>
      <c r="K8" t="s">
        <v>400</v>
      </c>
      <c r="L8" t="s">
        <v>243</v>
      </c>
      <c r="M8" t="s">
        <v>401</v>
      </c>
    </row>
    <row r="9" spans="1:13">
      <c r="A9" t="s">
        <v>38</v>
      </c>
      <c r="B9" t="s">
        <v>408</v>
      </c>
      <c r="C9" t="s">
        <v>396</v>
      </c>
      <c r="D9" t="s">
        <v>397</v>
      </c>
      <c r="E9" t="s">
        <v>89</v>
      </c>
      <c r="F9" t="s">
        <v>90</v>
      </c>
      <c r="G9" s="3">
        <v>102910000</v>
      </c>
      <c r="H9" t="s">
        <v>398</v>
      </c>
      <c r="I9" s="3">
        <v>2023</v>
      </c>
      <c r="J9" t="s">
        <v>399</v>
      </c>
      <c r="K9" t="s">
        <v>400</v>
      </c>
      <c r="L9" t="s">
        <v>243</v>
      </c>
      <c r="M9" t="s">
        <v>401</v>
      </c>
    </row>
    <row r="10" spans="1:13">
      <c r="A10" t="s">
        <v>39</v>
      </c>
      <c r="B10" t="s">
        <v>406</v>
      </c>
      <c r="C10" t="s">
        <v>105</v>
      </c>
      <c r="D10" t="s">
        <v>397</v>
      </c>
      <c r="E10" t="s">
        <v>89</v>
      </c>
      <c r="F10" t="s">
        <v>90</v>
      </c>
      <c r="G10" t="s">
        <v>105</v>
      </c>
      <c r="H10" t="s">
        <v>105</v>
      </c>
      <c r="I10" t="s">
        <v>105</v>
      </c>
      <c r="J10" t="s">
        <v>105</v>
      </c>
      <c r="K10" t="s">
        <v>105</v>
      </c>
      <c r="L10" t="s">
        <v>105</v>
      </c>
      <c r="M10" t="s">
        <v>105</v>
      </c>
    </row>
    <row r="11" spans="1:13">
      <c r="A11" t="s">
        <v>40</v>
      </c>
      <c r="B11" t="s">
        <v>409</v>
      </c>
      <c r="C11" t="s">
        <v>396</v>
      </c>
      <c r="D11" t="s">
        <v>397</v>
      </c>
      <c r="E11" t="s">
        <v>89</v>
      </c>
      <c r="F11" t="s">
        <v>90</v>
      </c>
      <c r="G11" s="3">
        <v>44137000</v>
      </c>
      <c r="H11" t="s">
        <v>398</v>
      </c>
      <c r="I11" s="3">
        <v>2023</v>
      </c>
      <c r="J11" t="s">
        <v>399</v>
      </c>
      <c r="K11" t="s">
        <v>400</v>
      </c>
      <c r="L11" t="s">
        <v>243</v>
      </c>
      <c r="M11" t="s">
        <v>401</v>
      </c>
    </row>
    <row r="12" spans="1:13">
      <c r="A12" t="s">
        <v>41</v>
      </c>
      <c r="B12" t="s">
        <v>410</v>
      </c>
      <c r="C12" t="s">
        <v>396</v>
      </c>
      <c r="D12" t="s">
        <v>397</v>
      </c>
      <c r="E12" t="s">
        <v>89</v>
      </c>
      <c r="F12" t="s">
        <v>90</v>
      </c>
      <c r="G12" s="3">
        <v>5973000</v>
      </c>
      <c r="H12" t="s">
        <v>398</v>
      </c>
      <c r="I12" s="3">
        <v>2023</v>
      </c>
      <c r="J12" t="s">
        <v>399</v>
      </c>
      <c r="K12" t="s">
        <v>400</v>
      </c>
      <c r="L12" t="s">
        <v>243</v>
      </c>
      <c r="M12" t="s">
        <v>401</v>
      </c>
    </row>
    <row r="13" spans="1:13">
      <c r="A13" t="s">
        <v>42</v>
      </c>
      <c r="B13" t="s">
        <v>411</v>
      </c>
      <c r="C13" t="s">
        <v>396</v>
      </c>
      <c r="D13" t="s">
        <v>397</v>
      </c>
      <c r="E13" t="s">
        <v>89</v>
      </c>
      <c r="F13" t="s">
        <v>90</v>
      </c>
      <c r="G13" s="3">
        <v>6517000</v>
      </c>
      <c r="H13" t="s">
        <v>398</v>
      </c>
      <c r="I13" s="3">
        <v>2023</v>
      </c>
      <c r="J13" t="s">
        <v>399</v>
      </c>
      <c r="K13" t="s">
        <v>400</v>
      </c>
      <c r="L13" t="s">
        <v>243</v>
      </c>
      <c r="M13" t="s">
        <v>401</v>
      </c>
    </row>
    <row r="14" spans="1:13">
      <c r="A14" t="s">
        <v>43</v>
      </c>
      <c r="B14" t="s">
        <v>412</v>
      </c>
      <c r="C14" t="s">
        <v>396</v>
      </c>
      <c r="D14" t="s">
        <v>397</v>
      </c>
      <c r="E14" t="s">
        <v>89</v>
      </c>
      <c r="F14" t="s">
        <v>90</v>
      </c>
      <c r="G14" s="3">
        <v>26575000</v>
      </c>
      <c r="H14" t="s">
        <v>398</v>
      </c>
      <c r="I14" s="3">
        <v>2023</v>
      </c>
      <c r="J14" t="s">
        <v>399</v>
      </c>
      <c r="K14" t="s">
        <v>400</v>
      </c>
      <c r="L14" t="s">
        <v>243</v>
      </c>
      <c r="M14" t="s">
        <v>401</v>
      </c>
    </row>
    <row r="15" spans="1:13">
      <c r="A15" t="s">
        <v>44</v>
      </c>
      <c r="B15" t="s">
        <v>413</v>
      </c>
      <c r="C15" t="s">
        <v>396</v>
      </c>
      <c r="D15" t="s">
        <v>397</v>
      </c>
      <c r="E15" t="s">
        <v>89</v>
      </c>
      <c r="F15" t="s">
        <v>90</v>
      </c>
      <c r="G15" s="3">
        <v>9697000</v>
      </c>
      <c r="H15" t="s">
        <v>398</v>
      </c>
      <c r="I15" s="3">
        <v>2023</v>
      </c>
      <c r="J15" t="s">
        <v>399</v>
      </c>
      <c r="K15" t="s">
        <v>400</v>
      </c>
      <c r="L15" t="s">
        <v>243</v>
      </c>
      <c r="M15" t="s">
        <v>401</v>
      </c>
    </row>
    <row r="16" spans="1:13">
      <c r="A16" t="s">
        <v>45</v>
      </c>
      <c r="B16" t="s">
        <v>414</v>
      </c>
      <c r="C16" t="s">
        <v>396</v>
      </c>
      <c r="D16" t="s">
        <v>397</v>
      </c>
      <c r="E16" t="s">
        <v>89</v>
      </c>
      <c r="F16" t="s">
        <v>90</v>
      </c>
      <c r="G16" s="3">
        <v>0</v>
      </c>
      <c r="H16" t="s">
        <v>415</v>
      </c>
      <c r="I16" s="3">
        <v>2022</v>
      </c>
      <c r="J16" t="s">
        <v>399</v>
      </c>
      <c r="K16" t="s">
        <v>400</v>
      </c>
      <c r="L16" t="s">
        <v>241</v>
      </c>
      <c r="M16" t="s">
        <v>401</v>
      </c>
    </row>
    <row r="17" spans="1:13">
      <c r="A17" t="s">
        <v>46</v>
      </c>
      <c r="B17" t="s">
        <v>416</v>
      </c>
      <c r="C17" t="s">
        <v>396</v>
      </c>
      <c r="D17" t="s">
        <v>183</v>
      </c>
      <c r="E17" t="s">
        <v>89</v>
      </c>
      <c r="F17" t="s">
        <v>90</v>
      </c>
      <c r="G17" s="3">
        <v>20689000</v>
      </c>
      <c r="H17" t="s">
        <v>398</v>
      </c>
      <c r="I17" s="3">
        <v>2023</v>
      </c>
      <c r="J17" t="s">
        <v>399</v>
      </c>
      <c r="K17" t="s">
        <v>400</v>
      </c>
      <c r="L17" t="s">
        <v>243</v>
      </c>
      <c r="M17" t="s">
        <v>401</v>
      </c>
    </row>
    <row r="18" spans="1:13">
      <c r="A18" t="s">
        <v>47</v>
      </c>
      <c r="B18" t="s">
        <v>417</v>
      </c>
      <c r="C18" t="s">
        <v>396</v>
      </c>
      <c r="D18" t="s">
        <v>183</v>
      </c>
      <c r="E18" t="s">
        <v>89</v>
      </c>
      <c r="F18" t="s">
        <v>90</v>
      </c>
      <c r="G18" s="3">
        <v>20422000</v>
      </c>
      <c r="H18" t="s">
        <v>398</v>
      </c>
      <c r="I18" s="3">
        <v>2023</v>
      </c>
      <c r="J18" t="s">
        <v>399</v>
      </c>
      <c r="K18" t="s">
        <v>400</v>
      </c>
      <c r="L18" t="s">
        <v>243</v>
      </c>
      <c r="M18" t="s">
        <v>401</v>
      </c>
    </row>
    <row r="19" spans="1:13">
      <c r="A19" t="s">
        <v>48</v>
      </c>
      <c r="B19" t="s">
        <v>418</v>
      </c>
      <c r="C19" t="s">
        <v>396</v>
      </c>
      <c r="D19" t="s">
        <v>419</v>
      </c>
      <c r="E19" t="s">
        <v>89</v>
      </c>
      <c r="F19" t="s">
        <v>90</v>
      </c>
      <c r="G19" s="3">
        <v>3.5</v>
      </c>
      <c r="H19" t="s">
        <v>398</v>
      </c>
      <c r="I19" s="3">
        <v>2023</v>
      </c>
      <c r="J19" t="s">
        <v>399</v>
      </c>
      <c r="K19" t="s">
        <v>400</v>
      </c>
      <c r="L19" t="s">
        <v>243</v>
      </c>
      <c r="M19" t="s">
        <v>401</v>
      </c>
    </row>
    <row r="20" spans="1:13">
      <c r="A20" t="s">
        <v>49</v>
      </c>
      <c r="B20" t="s">
        <v>420</v>
      </c>
      <c r="C20" t="s">
        <v>396</v>
      </c>
      <c r="D20" t="s">
        <v>397</v>
      </c>
      <c r="E20" t="s">
        <v>105</v>
      </c>
      <c r="F20" t="s">
        <v>90</v>
      </c>
      <c r="G20" s="3">
        <v>14462000</v>
      </c>
      <c r="H20" t="s">
        <v>415</v>
      </c>
      <c r="I20" s="3">
        <v>2022</v>
      </c>
      <c r="J20" t="s">
        <v>399</v>
      </c>
      <c r="K20" t="s">
        <v>400</v>
      </c>
      <c r="L20" t="s">
        <v>241</v>
      </c>
      <c r="M20" t="s">
        <v>421</v>
      </c>
    </row>
    <row r="21" spans="1:13">
      <c r="A21" t="s">
        <v>50</v>
      </c>
      <c r="B21" t="s">
        <v>422</v>
      </c>
      <c r="C21" t="s">
        <v>396</v>
      </c>
      <c r="D21" t="s">
        <v>397</v>
      </c>
      <c r="E21" t="s">
        <v>105</v>
      </c>
      <c r="F21" t="s">
        <v>90</v>
      </c>
      <c r="G21" s="3">
        <v>1607479000</v>
      </c>
      <c r="H21" t="s">
        <v>415</v>
      </c>
      <c r="I21" s="3">
        <v>2022</v>
      </c>
      <c r="J21" t="s">
        <v>399</v>
      </c>
      <c r="K21" t="s">
        <v>400</v>
      </c>
      <c r="L21" t="s">
        <v>241</v>
      </c>
      <c r="M21" t="s">
        <v>421</v>
      </c>
    </row>
    <row r="22" spans="1:13">
      <c r="A22" t="s">
        <v>51</v>
      </c>
      <c r="B22" t="s">
        <v>423</v>
      </c>
      <c r="C22" t="s">
        <v>396</v>
      </c>
      <c r="D22" t="s">
        <v>397</v>
      </c>
      <c r="E22" t="s">
        <v>105</v>
      </c>
      <c r="F22" t="s">
        <v>90</v>
      </c>
      <c r="G22" s="3">
        <v>627252000</v>
      </c>
      <c r="H22" t="s">
        <v>415</v>
      </c>
      <c r="I22" s="3">
        <v>2022</v>
      </c>
      <c r="J22" t="s">
        <v>399</v>
      </c>
      <c r="K22" t="s">
        <v>400</v>
      </c>
      <c r="L22" t="s">
        <v>241</v>
      </c>
      <c r="M22" t="s">
        <v>421</v>
      </c>
    </row>
    <row r="23" spans="1:13">
      <c r="A23" t="s">
        <v>52</v>
      </c>
      <c r="B23" t="s">
        <v>406</v>
      </c>
      <c r="C23" t="s">
        <v>105</v>
      </c>
      <c r="D23" t="s">
        <v>397</v>
      </c>
      <c r="E23" t="s">
        <v>105</v>
      </c>
      <c r="F23" t="s">
        <v>90</v>
      </c>
      <c r="G23" t="s">
        <v>105</v>
      </c>
      <c r="H23" t="s">
        <v>105</v>
      </c>
      <c r="I23" t="s">
        <v>105</v>
      </c>
      <c r="J23" t="s">
        <v>105</v>
      </c>
      <c r="K23" t="s">
        <v>105</v>
      </c>
      <c r="L23" t="s">
        <v>105</v>
      </c>
      <c r="M23" t="s">
        <v>105</v>
      </c>
    </row>
    <row r="24" spans="1:13">
      <c r="A24" t="s">
        <v>53</v>
      </c>
      <c r="B24" t="s">
        <v>424</v>
      </c>
      <c r="C24" t="s">
        <v>396</v>
      </c>
      <c r="D24" t="s">
        <v>397</v>
      </c>
      <c r="E24" t="s">
        <v>105</v>
      </c>
      <c r="F24" t="s">
        <v>90</v>
      </c>
      <c r="G24" s="3">
        <v>204509000</v>
      </c>
      <c r="H24" t="s">
        <v>415</v>
      </c>
      <c r="I24" s="3">
        <v>2022</v>
      </c>
      <c r="J24" t="s">
        <v>399</v>
      </c>
      <c r="K24" t="s">
        <v>400</v>
      </c>
      <c r="L24" t="s">
        <v>241</v>
      </c>
      <c r="M24" t="s">
        <v>421</v>
      </c>
    </row>
    <row r="25" spans="1:13">
      <c r="A25" t="s">
        <v>54</v>
      </c>
      <c r="B25" t="s">
        <v>425</v>
      </c>
      <c r="C25" t="s">
        <v>396</v>
      </c>
      <c r="D25" t="s">
        <v>397</v>
      </c>
      <c r="E25" t="s">
        <v>105</v>
      </c>
      <c r="F25" t="s">
        <v>90</v>
      </c>
      <c r="G25" s="3">
        <v>720440000</v>
      </c>
      <c r="H25" t="s">
        <v>426</v>
      </c>
      <c r="I25" s="3">
        <v>2024</v>
      </c>
      <c r="J25" t="s">
        <v>399</v>
      </c>
      <c r="K25" t="s">
        <v>400</v>
      </c>
      <c r="L25" t="s">
        <v>427</v>
      </c>
      <c r="M25" t="s">
        <v>421</v>
      </c>
    </row>
    <row r="26" spans="1:13">
      <c r="A26" t="s">
        <v>55</v>
      </c>
      <c r="B26" t="s">
        <v>428</v>
      </c>
      <c r="C26" t="s">
        <v>396</v>
      </c>
      <c r="D26" t="s">
        <v>397</v>
      </c>
      <c r="E26" t="s">
        <v>105</v>
      </c>
      <c r="F26" t="s">
        <v>90</v>
      </c>
      <c r="G26" s="3">
        <v>15359000</v>
      </c>
      <c r="H26" t="s">
        <v>415</v>
      </c>
      <c r="I26" s="3">
        <v>2022</v>
      </c>
      <c r="J26" t="s">
        <v>399</v>
      </c>
      <c r="K26" t="s">
        <v>400</v>
      </c>
      <c r="L26" t="s">
        <v>241</v>
      </c>
      <c r="M26" t="s">
        <v>421</v>
      </c>
    </row>
    <row r="27" spans="1:13">
      <c r="A27" t="s">
        <v>56</v>
      </c>
      <c r="B27" t="s">
        <v>429</v>
      </c>
      <c r="C27" t="s">
        <v>396</v>
      </c>
      <c r="D27" t="s">
        <v>397</v>
      </c>
      <c r="E27" t="s">
        <v>105</v>
      </c>
      <c r="F27" t="s">
        <v>90</v>
      </c>
      <c r="G27" s="3">
        <v>434388000</v>
      </c>
      <c r="H27" t="s">
        <v>415</v>
      </c>
      <c r="I27" s="3">
        <v>2022</v>
      </c>
      <c r="J27" t="s">
        <v>399</v>
      </c>
      <c r="K27" t="s">
        <v>400</v>
      </c>
      <c r="L27" t="s">
        <v>241</v>
      </c>
      <c r="M27" t="s">
        <v>421</v>
      </c>
    </row>
    <row r="28" spans="1:13">
      <c r="A28" t="s">
        <v>57</v>
      </c>
      <c r="B28" t="s">
        <v>430</v>
      </c>
      <c r="C28" t="s">
        <v>396</v>
      </c>
      <c r="D28" t="s">
        <v>397</v>
      </c>
      <c r="E28" t="s">
        <v>105</v>
      </c>
      <c r="F28" t="s">
        <v>90</v>
      </c>
      <c r="G28" s="3">
        <v>454548000</v>
      </c>
      <c r="H28" t="s">
        <v>415</v>
      </c>
      <c r="I28" s="3">
        <v>2022</v>
      </c>
      <c r="J28" t="s">
        <v>399</v>
      </c>
      <c r="K28" t="s">
        <v>400</v>
      </c>
      <c r="L28" t="s">
        <v>241</v>
      </c>
      <c r="M28" t="s">
        <v>421</v>
      </c>
    </row>
    <row r="29" spans="1:13">
      <c r="A29" t="s">
        <v>58</v>
      </c>
      <c r="B29" t="s">
        <v>431</v>
      </c>
      <c r="C29" t="s">
        <v>396</v>
      </c>
      <c r="D29" t="s">
        <v>397</v>
      </c>
      <c r="E29" t="s">
        <v>105</v>
      </c>
      <c r="F29" t="s">
        <v>90</v>
      </c>
      <c r="G29" s="3">
        <v>318620000</v>
      </c>
      <c r="H29" t="s">
        <v>398</v>
      </c>
      <c r="I29" s="3">
        <v>2023</v>
      </c>
      <c r="J29" t="s">
        <v>399</v>
      </c>
      <c r="K29" t="s">
        <v>400</v>
      </c>
      <c r="L29" t="s">
        <v>243</v>
      </c>
      <c r="M29" t="s">
        <v>421</v>
      </c>
    </row>
    <row r="30" spans="1:13">
      <c r="A30" t="s">
        <v>59</v>
      </c>
      <c r="B30" t="s">
        <v>432</v>
      </c>
      <c r="C30" t="s">
        <v>396</v>
      </c>
      <c r="D30" t="s">
        <v>397</v>
      </c>
      <c r="E30" t="s">
        <v>105</v>
      </c>
      <c r="F30" t="s">
        <v>90</v>
      </c>
      <c r="G30" s="3">
        <v>156736000</v>
      </c>
      <c r="H30" t="s">
        <v>415</v>
      </c>
      <c r="I30" s="3">
        <v>2022</v>
      </c>
      <c r="J30" t="s">
        <v>399</v>
      </c>
      <c r="K30" t="s">
        <v>400</v>
      </c>
      <c r="L30" t="s">
        <v>241</v>
      </c>
      <c r="M30" t="s">
        <v>421</v>
      </c>
    </row>
    <row r="31" spans="1:13">
      <c r="A31" t="s">
        <v>60</v>
      </c>
      <c r="B31" t="s">
        <v>433</v>
      </c>
      <c r="C31" t="s">
        <v>396</v>
      </c>
      <c r="D31" t="s">
        <v>397</v>
      </c>
      <c r="E31" t="s">
        <v>105</v>
      </c>
      <c r="F31" t="s">
        <v>90</v>
      </c>
      <c r="G31" s="3">
        <v>213819000</v>
      </c>
      <c r="H31" t="s">
        <v>415</v>
      </c>
      <c r="I31" s="3">
        <v>2022</v>
      </c>
      <c r="J31" t="s">
        <v>399</v>
      </c>
      <c r="K31" t="s">
        <v>400</v>
      </c>
      <c r="L31" t="s">
        <v>241</v>
      </c>
      <c r="M31" t="s">
        <v>421</v>
      </c>
    </row>
    <row r="32" spans="1:13">
      <c r="A32" t="s">
        <v>61</v>
      </c>
      <c r="B32" t="s">
        <v>434</v>
      </c>
      <c r="C32" t="s">
        <v>396</v>
      </c>
      <c r="D32" t="s">
        <v>397</v>
      </c>
      <c r="E32" t="s">
        <v>105</v>
      </c>
      <c r="F32" t="s">
        <v>90</v>
      </c>
      <c r="G32" s="3">
        <v>361115000</v>
      </c>
      <c r="H32" t="s">
        <v>415</v>
      </c>
      <c r="I32" s="3">
        <v>2022</v>
      </c>
      <c r="J32" t="s">
        <v>399</v>
      </c>
      <c r="K32" t="s">
        <v>400</v>
      </c>
      <c r="L32" t="s">
        <v>241</v>
      </c>
      <c r="M32" t="s">
        <v>421</v>
      </c>
    </row>
    <row r="33" spans="1:13">
      <c r="A33" t="s">
        <v>62</v>
      </c>
      <c r="B33" t="s">
        <v>435</v>
      </c>
      <c r="C33" t="s">
        <v>396</v>
      </c>
      <c r="D33" t="s">
        <v>397</v>
      </c>
      <c r="E33" t="s">
        <v>105</v>
      </c>
      <c r="F33" t="s">
        <v>90</v>
      </c>
      <c r="G33" s="3">
        <v>86243000</v>
      </c>
      <c r="H33" t="s">
        <v>415</v>
      </c>
      <c r="I33" s="3">
        <v>2022</v>
      </c>
      <c r="J33" t="s">
        <v>399</v>
      </c>
      <c r="K33" t="s">
        <v>400</v>
      </c>
      <c r="L33" t="s">
        <v>241</v>
      </c>
      <c r="M33" t="s">
        <v>421</v>
      </c>
    </row>
    <row r="34" spans="1:13">
      <c r="A34" t="s">
        <v>63</v>
      </c>
      <c r="B34" t="s">
        <v>436</v>
      </c>
      <c r="C34" t="s">
        <v>396</v>
      </c>
      <c r="D34" t="s">
        <v>183</v>
      </c>
      <c r="E34" t="s">
        <v>105</v>
      </c>
      <c r="F34" t="s">
        <v>90</v>
      </c>
      <c r="G34" s="3">
        <v>27148000</v>
      </c>
      <c r="H34" t="s">
        <v>415</v>
      </c>
      <c r="I34" s="3">
        <v>2022</v>
      </c>
      <c r="J34" t="s">
        <v>399</v>
      </c>
      <c r="K34" t="s">
        <v>400</v>
      </c>
      <c r="L34" t="s">
        <v>241</v>
      </c>
      <c r="M34" t="s">
        <v>421</v>
      </c>
    </row>
    <row r="35" spans="1:13">
      <c r="A35" t="s">
        <v>64</v>
      </c>
      <c r="B35" t="s">
        <v>437</v>
      </c>
      <c r="C35" t="s">
        <v>396</v>
      </c>
      <c r="D35" t="s">
        <v>183</v>
      </c>
      <c r="E35" t="s">
        <v>105</v>
      </c>
      <c r="F35" t="s">
        <v>90</v>
      </c>
      <c r="G35" s="3">
        <v>6700000</v>
      </c>
      <c r="H35" t="s">
        <v>415</v>
      </c>
      <c r="I35" s="3">
        <v>2022</v>
      </c>
      <c r="J35" t="s">
        <v>399</v>
      </c>
      <c r="K35" t="s">
        <v>400</v>
      </c>
      <c r="L35" t="s">
        <v>241</v>
      </c>
      <c r="M35" t="s">
        <v>421</v>
      </c>
    </row>
    <row r="36" spans="1:13">
      <c r="A36" t="s">
        <v>65</v>
      </c>
      <c r="B36" t="s">
        <v>438</v>
      </c>
      <c r="C36" t="s">
        <v>396</v>
      </c>
      <c r="D36" t="s">
        <v>397</v>
      </c>
      <c r="E36" t="s">
        <v>105</v>
      </c>
      <c r="F36" t="s">
        <v>90</v>
      </c>
      <c r="G36" s="3">
        <v>2800000</v>
      </c>
      <c r="H36" t="s">
        <v>415</v>
      </c>
      <c r="I36" s="3">
        <v>2022</v>
      </c>
      <c r="J36" t="s">
        <v>399</v>
      </c>
      <c r="K36" t="s">
        <v>400</v>
      </c>
      <c r="L36" t="s">
        <v>241</v>
      </c>
      <c r="M36" t="s">
        <v>421</v>
      </c>
    </row>
    <row r="37" spans="1:13">
      <c r="A37" t="s">
        <v>66</v>
      </c>
      <c r="B37" t="s">
        <v>439</v>
      </c>
      <c r="C37" t="s">
        <v>396</v>
      </c>
      <c r="D37" t="s">
        <v>397</v>
      </c>
      <c r="E37" t="s">
        <v>105</v>
      </c>
      <c r="F37" t="s">
        <v>90</v>
      </c>
      <c r="G37" s="3">
        <v>16327000</v>
      </c>
      <c r="H37" t="s">
        <v>415</v>
      </c>
      <c r="I37" s="3">
        <v>2022</v>
      </c>
      <c r="J37" t="s">
        <v>399</v>
      </c>
      <c r="K37" t="s">
        <v>400</v>
      </c>
      <c r="L37" t="s">
        <v>241</v>
      </c>
      <c r="M37" t="s">
        <v>421</v>
      </c>
    </row>
    <row r="38" spans="1:13">
      <c r="A38" t="s">
        <v>36</v>
      </c>
      <c r="B38" t="s">
        <v>440</v>
      </c>
      <c r="C38" t="s">
        <v>396</v>
      </c>
      <c r="D38" t="s">
        <v>397</v>
      </c>
      <c r="E38" t="s">
        <v>89</v>
      </c>
      <c r="F38" t="s">
        <v>90</v>
      </c>
      <c r="G38" s="3">
        <v>-4901000</v>
      </c>
      <c r="H38" t="s">
        <v>398</v>
      </c>
      <c r="I38" s="3">
        <v>2023</v>
      </c>
      <c r="J38" t="s">
        <v>399</v>
      </c>
      <c r="K38" t="s">
        <v>400</v>
      </c>
      <c r="L38" t="s">
        <v>243</v>
      </c>
      <c r="M38" t="s">
        <v>401</v>
      </c>
    </row>
    <row r="39" spans="1:13">
      <c r="A39" t="s">
        <v>31</v>
      </c>
      <c r="B39" t="s">
        <v>395</v>
      </c>
      <c r="C39" t="s">
        <v>396</v>
      </c>
      <c r="D39" t="s">
        <v>397</v>
      </c>
      <c r="E39" t="s">
        <v>92</v>
      </c>
      <c r="F39" t="s">
        <v>93</v>
      </c>
      <c r="G39" s="3">
        <v>1757109000</v>
      </c>
      <c r="H39" t="s">
        <v>426</v>
      </c>
      <c r="I39" s="3">
        <v>2024</v>
      </c>
      <c r="J39" t="s">
        <v>399</v>
      </c>
      <c r="K39" t="s">
        <v>400</v>
      </c>
      <c r="L39" t="s">
        <v>427</v>
      </c>
      <c r="M39" t="s">
        <v>441</v>
      </c>
    </row>
    <row r="40" spans="1:13">
      <c r="A40" t="s">
        <v>32</v>
      </c>
      <c r="B40" t="s">
        <v>402</v>
      </c>
      <c r="C40" t="s">
        <v>396</v>
      </c>
      <c r="D40" t="s">
        <v>397</v>
      </c>
      <c r="E40" t="s">
        <v>92</v>
      </c>
      <c r="F40" t="s">
        <v>93</v>
      </c>
      <c r="G40" s="3">
        <v>343880000</v>
      </c>
      <c r="H40" t="s">
        <v>426</v>
      </c>
      <c r="I40" s="3">
        <v>2024</v>
      </c>
      <c r="J40" t="s">
        <v>399</v>
      </c>
      <c r="K40" t="s">
        <v>400</v>
      </c>
      <c r="L40" t="s">
        <v>427</v>
      </c>
      <c r="M40" t="s">
        <v>441</v>
      </c>
    </row>
    <row r="41" spans="1:13">
      <c r="A41" t="s">
        <v>33</v>
      </c>
      <c r="B41" t="s">
        <v>403</v>
      </c>
      <c r="C41" t="s">
        <v>396</v>
      </c>
      <c r="D41" t="s">
        <v>397</v>
      </c>
      <c r="E41" t="s">
        <v>92</v>
      </c>
      <c r="F41" t="s">
        <v>93</v>
      </c>
      <c r="G41" s="3">
        <v>119755000</v>
      </c>
      <c r="H41" t="s">
        <v>426</v>
      </c>
      <c r="I41" s="3">
        <v>2024</v>
      </c>
      <c r="J41" t="s">
        <v>399</v>
      </c>
      <c r="K41" t="s">
        <v>400</v>
      </c>
      <c r="L41" t="s">
        <v>427</v>
      </c>
      <c r="M41" t="s">
        <v>441</v>
      </c>
    </row>
    <row r="42" spans="1:13">
      <c r="A42" t="s">
        <v>34</v>
      </c>
      <c r="B42" t="s">
        <v>404</v>
      </c>
      <c r="C42" t="s">
        <v>396</v>
      </c>
      <c r="D42" t="s">
        <v>397</v>
      </c>
      <c r="E42" t="s">
        <v>92</v>
      </c>
      <c r="F42" t="s">
        <v>93</v>
      </c>
      <c r="G42" s="3">
        <v>85990000</v>
      </c>
      <c r="H42" t="s">
        <v>426</v>
      </c>
      <c r="I42" s="3">
        <v>2024</v>
      </c>
      <c r="J42" t="s">
        <v>399</v>
      </c>
      <c r="K42" t="s">
        <v>400</v>
      </c>
      <c r="L42" t="s">
        <v>427</v>
      </c>
      <c r="M42" t="s">
        <v>441</v>
      </c>
    </row>
    <row r="43" spans="1:13">
      <c r="A43" t="s">
        <v>35</v>
      </c>
      <c r="B43" t="s">
        <v>405</v>
      </c>
      <c r="C43" t="s">
        <v>396</v>
      </c>
      <c r="D43" t="s">
        <v>397</v>
      </c>
      <c r="E43" t="s">
        <v>92</v>
      </c>
      <c r="F43" t="s">
        <v>93</v>
      </c>
      <c r="G43" s="3">
        <v>17110000</v>
      </c>
      <c r="H43" t="s">
        <v>426</v>
      </c>
      <c r="I43" s="3">
        <v>2024</v>
      </c>
      <c r="J43" t="s">
        <v>399</v>
      </c>
      <c r="K43" t="s">
        <v>400</v>
      </c>
      <c r="L43" t="s">
        <v>427</v>
      </c>
      <c r="M43" t="s">
        <v>441</v>
      </c>
    </row>
    <row r="44" spans="1:13">
      <c r="A44" t="s">
        <v>36</v>
      </c>
      <c r="B44" t="s">
        <v>442</v>
      </c>
      <c r="C44" t="s">
        <v>396</v>
      </c>
      <c r="D44" t="s">
        <v>397</v>
      </c>
      <c r="E44" t="s">
        <v>92</v>
      </c>
      <c r="F44" t="s">
        <v>93</v>
      </c>
      <c r="G44" s="3">
        <v>21905000</v>
      </c>
      <c r="H44" t="s">
        <v>426</v>
      </c>
      <c r="I44" s="3">
        <v>2024</v>
      </c>
      <c r="J44" t="s">
        <v>399</v>
      </c>
      <c r="K44" t="s">
        <v>400</v>
      </c>
      <c r="L44" t="s">
        <v>427</v>
      </c>
      <c r="M44" t="s">
        <v>441</v>
      </c>
    </row>
    <row r="45" spans="1:13">
      <c r="A45" t="s">
        <v>37</v>
      </c>
      <c r="B45" t="s">
        <v>407</v>
      </c>
      <c r="C45" t="s">
        <v>396</v>
      </c>
      <c r="D45" t="s">
        <v>397</v>
      </c>
      <c r="E45" t="s">
        <v>92</v>
      </c>
      <c r="F45" t="s">
        <v>93</v>
      </c>
      <c r="G45" s="3">
        <v>115958000</v>
      </c>
      <c r="H45" t="s">
        <v>426</v>
      </c>
      <c r="I45" s="3">
        <v>2024</v>
      </c>
      <c r="J45" t="s">
        <v>399</v>
      </c>
      <c r="K45" t="s">
        <v>400</v>
      </c>
      <c r="L45" t="s">
        <v>427</v>
      </c>
      <c r="M45" t="s">
        <v>441</v>
      </c>
    </row>
    <row r="46" spans="1:13">
      <c r="A46" t="s">
        <v>38</v>
      </c>
      <c r="B46" t="s">
        <v>408</v>
      </c>
      <c r="C46" t="s">
        <v>396</v>
      </c>
      <c r="D46" t="s">
        <v>397</v>
      </c>
      <c r="E46" t="s">
        <v>92</v>
      </c>
      <c r="F46" t="s">
        <v>93</v>
      </c>
      <c r="G46" s="3">
        <v>77608000</v>
      </c>
      <c r="H46" t="s">
        <v>426</v>
      </c>
      <c r="I46" s="3">
        <v>2024</v>
      </c>
      <c r="J46" t="s">
        <v>399</v>
      </c>
      <c r="K46" t="s">
        <v>400</v>
      </c>
      <c r="L46" t="s">
        <v>427</v>
      </c>
      <c r="M46" t="s">
        <v>441</v>
      </c>
    </row>
    <row r="47" spans="1:13">
      <c r="A47" t="s">
        <v>39</v>
      </c>
      <c r="B47" t="s">
        <v>406</v>
      </c>
      <c r="C47" t="s">
        <v>105</v>
      </c>
      <c r="D47" t="s">
        <v>397</v>
      </c>
      <c r="E47" t="s">
        <v>92</v>
      </c>
      <c r="F47" t="s">
        <v>93</v>
      </c>
      <c r="G47" t="s">
        <v>105</v>
      </c>
      <c r="H47" t="s">
        <v>105</v>
      </c>
      <c r="I47" t="s">
        <v>105</v>
      </c>
      <c r="J47" t="s">
        <v>105</v>
      </c>
      <c r="K47" t="s">
        <v>105</v>
      </c>
      <c r="L47" t="s">
        <v>105</v>
      </c>
      <c r="M47" t="s">
        <v>105</v>
      </c>
    </row>
    <row r="48" spans="1:13">
      <c r="A48" t="s">
        <v>40</v>
      </c>
      <c r="B48" t="s">
        <v>409</v>
      </c>
      <c r="C48" t="s">
        <v>396</v>
      </c>
      <c r="D48" t="s">
        <v>397</v>
      </c>
      <c r="E48" t="s">
        <v>92</v>
      </c>
      <c r="F48" t="s">
        <v>93</v>
      </c>
      <c r="G48" s="3">
        <v>53436000</v>
      </c>
      <c r="H48" t="s">
        <v>426</v>
      </c>
      <c r="I48" s="3">
        <v>2024</v>
      </c>
      <c r="J48" t="s">
        <v>399</v>
      </c>
      <c r="K48" t="s">
        <v>400</v>
      </c>
      <c r="L48" t="s">
        <v>427</v>
      </c>
      <c r="M48" t="s">
        <v>441</v>
      </c>
    </row>
    <row r="49" spans="1:13">
      <c r="A49" t="s">
        <v>41</v>
      </c>
      <c r="B49" t="s">
        <v>410</v>
      </c>
      <c r="C49" t="s">
        <v>396</v>
      </c>
      <c r="D49" t="s">
        <v>397</v>
      </c>
      <c r="E49" t="s">
        <v>92</v>
      </c>
      <c r="F49" t="s">
        <v>93</v>
      </c>
      <c r="G49" s="3">
        <v>12400000</v>
      </c>
      <c r="H49" t="s">
        <v>426</v>
      </c>
      <c r="I49" s="3">
        <v>2024</v>
      </c>
      <c r="J49" t="s">
        <v>399</v>
      </c>
      <c r="K49" t="s">
        <v>400</v>
      </c>
      <c r="L49" t="s">
        <v>427</v>
      </c>
      <c r="M49" t="s">
        <v>441</v>
      </c>
    </row>
    <row r="50" spans="1:13">
      <c r="A50" t="s">
        <v>42</v>
      </c>
      <c r="B50" t="s">
        <v>411</v>
      </c>
      <c r="C50" t="s">
        <v>396</v>
      </c>
      <c r="D50" t="s">
        <v>397</v>
      </c>
      <c r="E50" t="s">
        <v>92</v>
      </c>
      <c r="F50" t="s">
        <v>93</v>
      </c>
      <c r="G50" s="3">
        <v>8813000</v>
      </c>
      <c r="H50" t="s">
        <v>426</v>
      </c>
      <c r="I50" s="3">
        <v>2024</v>
      </c>
      <c r="J50" t="s">
        <v>399</v>
      </c>
      <c r="K50" t="s">
        <v>400</v>
      </c>
      <c r="L50" t="s">
        <v>427</v>
      </c>
      <c r="M50" t="s">
        <v>441</v>
      </c>
    </row>
    <row r="51" spans="1:13">
      <c r="A51" t="s">
        <v>43</v>
      </c>
      <c r="B51" t="s">
        <v>412</v>
      </c>
      <c r="C51" t="s">
        <v>396</v>
      </c>
      <c r="D51" t="s">
        <v>397</v>
      </c>
      <c r="E51" t="s">
        <v>92</v>
      </c>
      <c r="F51" t="s">
        <v>93</v>
      </c>
      <c r="G51" s="3">
        <v>28977000</v>
      </c>
      <c r="H51" t="s">
        <v>426</v>
      </c>
      <c r="I51" s="3">
        <v>2024</v>
      </c>
      <c r="J51" t="s">
        <v>399</v>
      </c>
      <c r="K51" t="s">
        <v>400</v>
      </c>
      <c r="L51" t="s">
        <v>427</v>
      </c>
      <c r="M51" t="s">
        <v>441</v>
      </c>
    </row>
    <row r="52" spans="1:13">
      <c r="A52" t="s">
        <v>44</v>
      </c>
      <c r="B52" t="s">
        <v>413</v>
      </c>
      <c r="C52" t="s">
        <v>396</v>
      </c>
      <c r="D52" t="s">
        <v>397</v>
      </c>
      <c r="E52" t="s">
        <v>92</v>
      </c>
      <c r="F52" t="s">
        <v>93</v>
      </c>
      <c r="G52" s="3">
        <v>10160000</v>
      </c>
      <c r="H52" t="s">
        <v>426</v>
      </c>
      <c r="I52" s="3">
        <v>2024</v>
      </c>
      <c r="J52" t="s">
        <v>399</v>
      </c>
      <c r="K52" t="s">
        <v>400</v>
      </c>
      <c r="L52" t="s">
        <v>427</v>
      </c>
      <c r="M52" t="s">
        <v>441</v>
      </c>
    </row>
    <row r="53" spans="1:13">
      <c r="A53" t="s">
        <v>45</v>
      </c>
      <c r="B53" t="s">
        <v>414</v>
      </c>
      <c r="C53" t="s">
        <v>396</v>
      </c>
      <c r="D53" t="s">
        <v>397</v>
      </c>
      <c r="E53" t="s">
        <v>92</v>
      </c>
      <c r="F53" t="s">
        <v>93</v>
      </c>
      <c r="G53" s="3">
        <v>0</v>
      </c>
      <c r="H53" t="s">
        <v>415</v>
      </c>
      <c r="I53" s="3">
        <v>2022</v>
      </c>
      <c r="J53" t="s">
        <v>399</v>
      </c>
      <c r="K53" t="s">
        <v>400</v>
      </c>
      <c r="L53" t="s">
        <v>241</v>
      </c>
      <c r="M53" t="s">
        <v>441</v>
      </c>
    </row>
    <row r="54" spans="1:13">
      <c r="A54" t="s">
        <v>46</v>
      </c>
      <c r="B54" t="s">
        <v>416</v>
      </c>
      <c r="C54" t="s">
        <v>396</v>
      </c>
      <c r="D54" t="s">
        <v>183</v>
      </c>
      <c r="E54" t="s">
        <v>92</v>
      </c>
      <c r="F54" t="s">
        <v>93</v>
      </c>
      <c r="G54" s="3">
        <v>20760000</v>
      </c>
      <c r="H54" t="s">
        <v>426</v>
      </c>
      <c r="I54" s="3">
        <v>2024</v>
      </c>
      <c r="J54" t="s">
        <v>399</v>
      </c>
      <c r="K54" t="s">
        <v>400</v>
      </c>
      <c r="L54" t="s">
        <v>427</v>
      </c>
      <c r="M54" t="s">
        <v>441</v>
      </c>
    </row>
    <row r="55" spans="1:13">
      <c r="A55" t="s">
        <v>47</v>
      </c>
      <c r="B55" t="s">
        <v>417</v>
      </c>
      <c r="C55" t="s">
        <v>396</v>
      </c>
      <c r="D55" t="s">
        <v>183</v>
      </c>
      <c r="E55" t="s">
        <v>92</v>
      </c>
      <c r="F55" t="s">
        <v>93</v>
      </c>
      <c r="G55" s="3">
        <v>20511000</v>
      </c>
      <c r="H55" t="s">
        <v>426</v>
      </c>
      <c r="I55" s="3">
        <v>2024</v>
      </c>
      <c r="J55" t="s">
        <v>399</v>
      </c>
      <c r="K55" t="s">
        <v>400</v>
      </c>
      <c r="L55" t="s">
        <v>427</v>
      </c>
      <c r="M55" t="s">
        <v>441</v>
      </c>
    </row>
    <row r="56" spans="1:13">
      <c r="A56" t="s">
        <v>48</v>
      </c>
      <c r="B56" t="s">
        <v>418</v>
      </c>
      <c r="C56" t="s">
        <v>396</v>
      </c>
      <c r="D56" t="s">
        <v>419</v>
      </c>
      <c r="E56" t="s">
        <v>92</v>
      </c>
      <c r="F56" t="s">
        <v>93</v>
      </c>
      <c r="G56" s="3">
        <v>4.14</v>
      </c>
      <c r="H56" t="s">
        <v>426</v>
      </c>
      <c r="I56" s="3">
        <v>2024</v>
      </c>
      <c r="J56" t="s">
        <v>399</v>
      </c>
      <c r="K56" t="s">
        <v>400</v>
      </c>
      <c r="L56" t="s">
        <v>427</v>
      </c>
      <c r="M56" t="s">
        <v>441</v>
      </c>
    </row>
    <row r="57" spans="1:13">
      <c r="A57" t="s">
        <v>49</v>
      </c>
      <c r="B57" t="s">
        <v>420</v>
      </c>
      <c r="C57" t="s">
        <v>396</v>
      </c>
      <c r="D57" t="s">
        <v>397</v>
      </c>
      <c r="E57" t="s">
        <v>105</v>
      </c>
      <c r="F57" t="s">
        <v>93</v>
      </c>
      <c r="G57" s="3">
        <v>13101000</v>
      </c>
      <c r="H57" t="s">
        <v>398</v>
      </c>
      <c r="I57" s="3">
        <v>2023</v>
      </c>
      <c r="J57" t="s">
        <v>399</v>
      </c>
      <c r="K57" t="s">
        <v>400</v>
      </c>
      <c r="L57" t="s">
        <v>243</v>
      </c>
      <c r="M57" t="s">
        <v>443</v>
      </c>
    </row>
    <row r="58" spans="1:13">
      <c r="A58" t="s">
        <v>50</v>
      </c>
      <c r="B58" t="s">
        <v>422</v>
      </c>
      <c r="C58" t="s">
        <v>396</v>
      </c>
      <c r="D58" t="s">
        <v>397</v>
      </c>
      <c r="E58" t="s">
        <v>105</v>
      </c>
      <c r="F58" t="s">
        <v>93</v>
      </c>
      <c r="G58" s="3">
        <v>1691979000</v>
      </c>
      <c r="H58" t="s">
        <v>398</v>
      </c>
      <c r="I58" s="3">
        <v>2023</v>
      </c>
      <c r="J58" t="s">
        <v>399</v>
      </c>
      <c r="K58" t="s">
        <v>400</v>
      </c>
      <c r="L58" t="s">
        <v>243</v>
      </c>
      <c r="M58" t="s">
        <v>443</v>
      </c>
    </row>
    <row r="59" spans="1:13">
      <c r="A59" t="s">
        <v>51</v>
      </c>
      <c r="B59" t="s">
        <v>423</v>
      </c>
      <c r="C59" t="s">
        <v>396</v>
      </c>
      <c r="D59" t="s">
        <v>397</v>
      </c>
      <c r="E59" t="s">
        <v>105</v>
      </c>
      <c r="F59" t="s">
        <v>93</v>
      </c>
      <c r="G59" s="3">
        <v>690448000</v>
      </c>
      <c r="H59" t="s">
        <v>398</v>
      </c>
      <c r="I59" s="3">
        <v>2023</v>
      </c>
      <c r="J59" t="s">
        <v>399</v>
      </c>
      <c r="K59" t="s">
        <v>400</v>
      </c>
      <c r="L59" t="s">
        <v>243</v>
      </c>
      <c r="M59" t="s">
        <v>443</v>
      </c>
    </row>
    <row r="60" spans="1:13">
      <c r="A60" t="s">
        <v>52</v>
      </c>
      <c r="B60" t="s">
        <v>406</v>
      </c>
      <c r="C60" t="s">
        <v>105</v>
      </c>
      <c r="D60" t="s">
        <v>397</v>
      </c>
      <c r="E60" t="s">
        <v>105</v>
      </c>
      <c r="F60" t="s">
        <v>93</v>
      </c>
      <c r="G60" t="s">
        <v>105</v>
      </c>
      <c r="H60" t="s">
        <v>105</v>
      </c>
      <c r="I60" t="s">
        <v>105</v>
      </c>
      <c r="J60" t="s">
        <v>105</v>
      </c>
      <c r="K60" t="s">
        <v>105</v>
      </c>
      <c r="L60" t="s">
        <v>105</v>
      </c>
      <c r="M60" t="s">
        <v>105</v>
      </c>
    </row>
    <row r="61" spans="1:13">
      <c r="A61" t="s">
        <v>53</v>
      </c>
      <c r="B61" t="s">
        <v>424</v>
      </c>
      <c r="C61" t="s">
        <v>396</v>
      </c>
      <c r="D61" t="s">
        <v>397</v>
      </c>
      <c r="E61" t="s">
        <v>105</v>
      </c>
      <c r="F61" t="s">
        <v>93</v>
      </c>
      <c r="G61" s="3">
        <v>238964000</v>
      </c>
      <c r="H61" t="s">
        <v>398</v>
      </c>
      <c r="I61" s="3">
        <v>2023</v>
      </c>
      <c r="J61" t="s">
        <v>399</v>
      </c>
      <c r="K61" t="s">
        <v>400</v>
      </c>
      <c r="L61" t="s">
        <v>243</v>
      </c>
      <c r="M61" t="s">
        <v>443</v>
      </c>
    </row>
    <row r="62" spans="1:13">
      <c r="A62" t="s">
        <v>54</v>
      </c>
      <c r="B62" t="s">
        <v>425</v>
      </c>
      <c r="C62" t="s">
        <v>396</v>
      </c>
      <c r="D62" t="s">
        <v>397</v>
      </c>
      <c r="E62" t="s">
        <v>105</v>
      </c>
      <c r="F62" t="s">
        <v>93</v>
      </c>
      <c r="G62" s="3">
        <v>799990000</v>
      </c>
      <c r="H62" t="s">
        <v>444</v>
      </c>
      <c r="I62" s="3">
        <v>2025</v>
      </c>
      <c r="J62" t="s">
        <v>399</v>
      </c>
      <c r="K62" t="s">
        <v>400</v>
      </c>
      <c r="L62" t="s">
        <v>250</v>
      </c>
      <c r="M62" t="s">
        <v>443</v>
      </c>
    </row>
    <row r="63" spans="1:13">
      <c r="A63" t="s">
        <v>55</v>
      </c>
      <c r="B63" t="s">
        <v>428</v>
      </c>
      <c r="C63" t="s">
        <v>396</v>
      </c>
      <c r="D63" t="s">
        <v>397</v>
      </c>
      <c r="E63" t="s">
        <v>105</v>
      </c>
      <c r="F63" t="s">
        <v>93</v>
      </c>
      <c r="G63" s="3">
        <v>21105000</v>
      </c>
      <c r="H63" t="s">
        <v>398</v>
      </c>
      <c r="I63" s="3">
        <v>2023</v>
      </c>
      <c r="J63" t="s">
        <v>399</v>
      </c>
      <c r="K63" t="s">
        <v>400</v>
      </c>
      <c r="L63" t="s">
        <v>243</v>
      </c>
      <c r="M63" t="s">
        <v>443</v>
      </c>
    </row>
    <row r="64" spans="1:13">
      <c r="A64" t="s">
        <v>56</v>
      </c>
      <c r="B64" t="s">
        <v>429</v>
      </c>
      <c r="C64" t="s">
        <v>396</v>
      </c>
      <c r="D64" t="s">
        <v>397</v>
      </c>
      <c r="E64" t="s">
        <v>105</v>
      </c>
      <c r="F64" t="s">
        <v>93</v>
      </c>
      <c r="G64" s="3">
        <v>410876000</v>
      </c>
      <c r="H64" t="s">
        <v>398</v>
      </c>
      <c r="I64" s="3">
        <v>2023</v>
      </c>
      <c r="J64" t="s">
        <v>399</v>
      </c>
      <c r="K64" t="s">
        <v>400</v>
      </c>
      <c r="L64" t="s">
        <v>243</v>
      </c>
      <c r="M64" t="s">
        <v>443</v>
      </c>
    </row>
    <row r="65" spans="1:13">
      <c r="A65" t="s">
        <v>57</v>
      </c>
      <c r="B65" t="s">
        <v>430</v>
      </c>
      <c r="C65" t="s">
        <v>396</v>
      </c>
      <c r="D65" t="s">
        <v>397</v>
      </c>
      <c r="E65" t="s">
        <v>105</v>
      </c>
      <c r="F65" t="s">
        <v>93</v>
      </c>
      <c r="G65" s="3">
        <v>435791000</v>
      </c>
      <c r="H65" t="s">
        <v>398</v>
      </c>
      <c r="I65" s="3">
        <v>2023</v>
      </c>
      <c r="J65" t="s">
        <v>399</v>
      </c>
      <c r="K65" t="s">
        <v>400</v>
      </c>
      <c r="L65" t="s">
        <v>243</v>
      </c>
      <c r="M65" t="s">
        <v>443</v>
      </c>
    </row>
    <row r="66" spans="1:13">
      <c r="A66" t="s">
        <v>58</v>
      </c>
      <c r="B66" t="s">
        <v>431</v>
      </c>
      <c r="C66" t="s">
        <v>396</v>
      </c>
      <c r="D66" t="s">
        <v>397</v>
      </c>
      <c r="E66" t="s">
        <v>105</v>
      </c>
      <c r="F66" t="s">
        <v>93</v>
      </c>
      <c r="G66" s="3">
        <v>319498000</v>
      </c>
      <c r="H66" t="s">
        <v>426</v>
      </c>
      <c r="I66" s="3">
        <v>2024</v>
      </c>
      <c r="J66" t="s">
        <v>399</v>
      </c>
      <c r="K66" t="s">
        <v>400</v>
      </c>
      <c r="L66" t="s">
        <v>427</v>
      </c>
      <c r="M66" t="s">
        <v>443</v>
      </c>
    </row>
    <row r="67" spans="1:13">
      <c r="A67" t="s">
        <v>59</v>
      </c>
      <c r="B67" t="s">
        <v>432</v>
      </c>
      <c r="C67" t="s">
        <v>396</v>
      </c>
      <c r="D67" t="s">
        <v>397</v>
      </c>
      <c r="E67" t="s">
        <v>105</v>
      </c>
      <c r="F67" t="s">
        <v>93</v>
      </c>
      <c r="G67" s="3">
        <v>139601000</v>
      </c>
      <c r="H67" t="s">
        <v>398</v>
      </c>
      <c r="I67" s="3">
        <v>2023</v>
      </c>
      <c r="J67" t="s">
        <v>399</v>
      </c>
      <c r="K67" t="s">
        <v>400</v>
      </c>
      <c r="L67" t="s">
        <v>243</v>
      </c>
      <c r="M67" t="s">
        <v>443</v>
      </c>
    </row>
    <row r="68" spans="1:13">
      <c r="A68" t="s">
        <v>60</v>
      </c>
      <c r="B68" t="s">
        <v>433</v>
      </c>
      <c r="C68" t="s">
        <v>396</v>
      </c>
      <c r="D68" t="s">
        <v>397</v>
      </c>
      <c r="E68" t="s">
        <v>105</v>
      </c>
      <c r="F68" t="s">
        <v>93</v>
      </c>
      <c r="G68" s="3">
        <v>215211000</v>
      </c>
      <c r="H68" t="s">
        <v>398</v>
      </c>
      <c r="I68" s="3">
        <v>2023</v>
      </c>
      <c r="J68" t="s">
        <v>399</v>
      </c>
      <c r="K68" t="s">
        <v>400</v>
      </c>
      <c r="L68" t="s">
        <v>243</v>
      </c>
      <c r="M68" t="s">
        <v>443</v>
      </c>
    </row>
    <row r="69" spans="1:13">
      <c r="A69" t="s">
        <v>61</v>
      </c>
      <c r="B69" t="s">
        <v>434</v>
      </c>
      <c r="C69" t="s">
        <v>396</v>
      </c>
      <c r="D69" t="s">
        <v>397</v>
      </c>
      <c r="E69" t="s">
        <v>105</v>
      </c>
      <c r="F69" t="s">
        <v>93</v>
      </c>
      <c r="G69" s="3">
        <v>423080000</v>
      </c>
      <c r="H69" t="s">
        <v>398</v>
      </c>
      <c r="I69" s="3">
        <v>2023</v>
      </c>
      <c r="J69" t="s">
        <v>399</v>
      </c>
      <c r="K69" t="s">
        <v>400</v>
      </c>
      <c r="L69" t="s">
        <v>243</v>
      </c>
      <c r="M69" t="s">
        <v>443</v>
      </c>
    </row>
    <row r="70" spans="1:13">
      <c r="A70" t="s">
        <v>62</v>
      </c>
      <c r="B70" t="s">
        <v>435</v>
      </c>
      <c r="C70" t="s">
        <v>396</v>
      </c>
      <c r="D70" t="s">
        <v>397</v>
      </c>
      <c r="E70" t="s">
        <v>105</v>
      </c>
      <c r="F70" t="s">
        <v>93</v>
      </c>
      <c r="G70" s="3">
        <v>107899000</v>
      </c>
      <c r="H70" t="s">
        <v>398</v>
      </c>
      <c r="I70" s="3">
        <v>2023</v>
      </c>
      <c r="J70" t="s">
        <v>399</v>
      </c>
      <c r="K70" t="s">
        <v>400</v>
      </c>
      <c r="L70" t="s">
        <v>243</v>
      </c>
      <c r="M70" t="s">
        <v>443</v>
      </c>
    </row>
    <row r="71" spans="1:13">
      <c r="A71" t="s">
        <v>63</v>
      </c>
      <c r="B71" t="s">
        <v>436</v>
      </c>
      <c r="C71" t="s">
        <v>396</v>
      </c>
      <c r="D71" t="s">
        <v>183</v>
      </c>
      <c r="E71" t="s">
        <v>105</v>
      </c>
      <c r="F71" t="s">
        <v>93</v>
      </c>
      <c r="G71" s="3">
        <v>27148000</v>
      </c>
      <c r="H71" t="s">
        <v>398</v>
      </c>
      <c r="I71" s="3">
        <v>2023</v>
      </c>
      <c r="J71" t="s">
        <v>399</v>
      </c>
      <c r="K71" t="s">
        <v>400</v>
      </c>
      <c r="L71" t="s">
        <v>243</v>
      </c>
      <c r="M71" t="s">
        <v>443</v>
      </c>
    </row>
    <row r="72" spans="1:13">
      <c r="A72" t="s">
        <v>64</v>
      </c>
      <c r="B72" t="s">
        <v>445</v>
      </c>
      <c r="C72" t="s">
        <v>396</v>
      </c>
      <c r="D72" t="s">
        <v>183</v>
      </c>
      <c r="E72" t="s">
        <v>105</v>
      </c>
      <c r="F72" t="s">
        <v>93</v>
      </c>
      <c r="G72" s="3">
        <v>6605000</v>
      </c>
      <c r="H72" t="s">
        <v>398</v>
      </c>
      <c r="I72" s="3">
        <v>2023</v>
      </c>
      <c r="J72" t="s">
        <v>399</v>
      </c>
      <c r="K72" t="s">
        <v>400</v>
      </c>
      <c r="L72" t="s">
        <v>243</v>
      </c>
      <c r="M72" t="s">
        <v>443</v>
      </c>
    </row>
    <row r="73" spans="1:13">
      <c r="A73" t="s">
        <v>65</v>
      </c>
      <c r="B73" t="s">
        <v>438</v>
      </c>
      <c r="C73" t="s">
        <v>396</v>
      </c>
      <c r="D73" t="s">
        <v>397</v>
      </c>
      <c r="E73" t="s">
        <v>105</v>
      </c>
      <c r="F73" t="s">
        <v>93</v>
      </c>
      <c r="G73" s="3">
        <v>1485000</v>
      </c>
      <c r="H73" t="s">
        <v>398</v>
      </c>
      <c r="I73" s="3">
        <v>2023</v>
      </c>
      <c r="J73" t="s">
        <v>399</v>
      </c>
      <c r="K73" t="s">
        <v>400</v>
      </c>
      <c r="L73" t="s">
        <v>243</v>
      </c>
      <c r="M73" t="s">
        <v>443</v>
      </c>
    </row>
    <row r="74" spans="1:13">
      <c r="A74" t="s">
        <v>66</v>
      </c>
      <c r="B74" t="s">
        <v>439</v>
      </c>
      <c r="C74" t="s">
        <v>396</v>
      </c>
      <c r="D74" t="s">
        <v>397</v>
      </c>
      <c r="E74" t="s">
        <v>105</v>
      </c>
      <c r="F74" t="s">
        <v>93</v>
      </c>
      <c r="G74" s="3">
        <v>13876000</v>
      </c>
      <c r="H74" t="s">
        <v>398</v>
      </c>
      <c r="I74" s="3">
        <v>2023</v>
      </c>
      <c r="J74" t="s">
        <v>399</v>
      </c>
      <c r="K74" t="s">
        <v>400</v>
      </c>
      <c r="L74" t="s">
        <v>243</v>
      </c>
      <c r="M74" t="s">
        <v>443</v>
      </c>
    </row>
    <row r="75" spans="1:13">
      <c r="A75" t="s">
        <v>31</v>
      </c>
      <c r="B75" t="s">
        <v>395</v>
      </c>
      <c r="C75" t="s">
        <v>396</v>
      </c>
      <c r="D75" t="s">
        <v>397</v>
      </c>
      <c r="E75" t="s">
        <v>95</v>
      </c>
      <c r="F75" t="s">
        <v>96</v>
      </c>
      <c r="G75" s="3">
        <v>1665187000</v>
      </c>
      <c r="H75" t="s">
        <v>444</v>
      </c>
      <c r="I75" s="3">
        <v>2025</v>
      </c>
      <c r="J75" t="s">
        <v>399</v>
      </c>
      <c r="K75" t="s">
        <v>400</v>
      </c>
      <c r="L75" t="s">
        <v>250</v>
      </c>
      <c r="M75" t="s">
        <v>446</v>
      </c>
    </row>
    <row r="76" spans="1:13">
      <c r="A76" t="s">
        <v>32</v>
      </c>
      <c r="B76" t="s">
        <v>402</v>
      </c>
      <c r="C76" t="s">
        <v>396</v>
      </c>
      <c r="D76" t="s">
        <v>397</v>
      </c>
      <c r="E76" t="s">
        <v>95</v>
      </c>
      <c r="F76" t="s">
        <v>96</v>
      </c>
      <c r="G76" s="3">
        <v>349042000</v>
      </c>
      <c r="H76" t="s">
        <v>444</v>
      </c>
      <c r="I76" s="3">
        <v>2025</v>
      </c>
      <c r="J76" t="s">
        <v>399</v>
      </c>
      <c r="K76" t="s">
        <v>400</v>
      </c>
      <c r="L76" t="s">
        <v>250</v>
      </c>
      <c r="M76" t="s">
        <v>446</v>
      </c>
    </row>
    <row r="77" spans="1:13">
      <c r="A77" t="s">
        <v>33</v>
      </c>
      <c r="B77" t="s">
        <v>403</v>
      </c>
      <c r="C77" t="s">
        <v>396</v>
      </c>
      <c r="D77" t="s">
        <v>397</v>
      </c>
      <c r="E77" t="s">
        <v>95</v>
      </c>
      <c r="F77" t="s">
        <v>96</v>
      </c>
      <c r="G77" s="3">
        <v>136444000</v>
      </c>
      <c r="H77" t="s">
        <v>444</v>
      </c>
      <c r="I77" s="3">
        <v>2025</v>
      </c>
      <c r="J77" t="s">
        <v>399</v>
      </c>
      <c r="K77" t="s">
        <v>400</v>
      </c>
      <c r="L77" t="s">
        <v>250</v>
      </c>
      <c r="M77" t="s">
        <v>446</v>
      </c>
    </row>
    <row r="78" spans="1:13">
      <c r="A78" t="s">
        <v>34</v>
      </c>
      <c r="B78" t="s">
        <v>404</v>
      </c>
      <c r="C78" t="s">
        <v>396</v>
      </c>
      <c r="D78" t="s">
        <v>397</v>
      </c>
      <c r="E78" t="s">
        <v>95</v>
      </c>
      <c r="F78" t="s">
        <v>96</v>
      </c>
      <c r="G78" s="3">
        <v>95702000</v>
      </c>
      <c r="H78" t="s">
        <v>444</v>
      </c>
      <c r="I78" s="3">
        <v>2025</v>
      </c>
      <c r="J78" t="s">
        <v>399</v>
      </c>
      <c r="K78" t="s">
        <v>400</v>
      </c>
      <c r="L78" t="s">
        <v>250</v>
      </c>
      <c r="M78" t="s">
        <v>446</v>
      </c>
    </row>
    <row r="79" spans="1:13">
      <c r="A79" t="s">
        <v>35</v>
      </c>
      <c r="B79" t="s">
        <v>405</v>
      </c>
      <c r="C79" t="s">
        <v>396</v>
      </c>
      <c r="D79" t="s">
        <v>397</v>
      </c>
      <c r="E79" t="s">
        <v>95</v>
      </c>
      <c r="F79" t="s">
        <v>96</v>
      </c>
      <c r="G79" s="3">
        <v>12129000</v>
      </c>
      <c r="H79" t="s">
        <v>444</v>
      </c>
      <c r="I79" s="3">
        <v>2025</v>
      </c>
      <c r="J79" t="s">
        <v>399</v>
      </c>
      <c r="K79" t="s">
        <v>400</v>
      </c>
      <c r="L79" t="s">
        <v>250</v>
      </c>
      <c r="M79" t="s">
        <v>446</v>
      </c>
    </row>
    <row r="80" spans="1:13">
      <c r="A80" t="s">
        <v>36</v>
      </c>
      <c r="B80" t="s">
        <v>442</v>
      </c>
      <c r="C80" t="s">
        <v>396</v>
      </c>
      <c r="D80" t="s">
        <v>397</v>
      </c>
      <c r="E80" t="s">
        <v>95</v>
      </c>
      <c r="F80" t="s">
        <v>96</v>
      </c>
      <c r="G80" s="3">
        <v>31323000</v>
      </c>
      <c r="H80" t="s">
        <v>444</v>
      </c>
      <c r="I80" s="3">
        <v>2025</v>
      </c>
      <c r="J80" t="s">
        <v>399</v>
      </c>
      <c r="K80" t="s">
        <v>400</v>
      </c>
      <c r="L80" t="s">
        <v>250</v>
      </c>
      <c r="M80" t="s">
        <v>446</v>
      </c>
    </row>
    <row r="81" spans="1:13">
      <c r="A81" t="s">
        <v>37</v>
      </c>
      <c r="B81" t="s">
        <v>407</v>
      </c>
      <c r="C81" t="s">
        <v>396</v>
      </c>
      <c r="D81" t="s">
        <v>397</v>
      </c>
      <c r="E81" t="s">
        <v>95</v>
      </c>
      <c r="F81" t="s">
        <v>96</v>
      </c>
      <c r="G81" s="3">
        <v>144414000</v>
      </c>
      <c r="H81" t="s">
        <v>444</v>
      </c>
      <c r="I81" s="3">
        <v>2025</v>
      </c>
      <c r="J81" t="s">
        <v>399</v>
      </c>
      <c r="K81" t="s">
        <v>400</v>
      </c>
      <c r="L81" t="s">
        <v>250</v>
      </c>
      <c r="M81" t="s">
        <v>446</v>
      </c>
    </row>
    <row r="82" spans="1:13">
      <c r="A82" t="s">
        <v>38</v>
      </c>
      <c r="B82" t="s">
        <v>447</v>
      </c>
      <c r="C82" t="s">
        <v>396</v>
      </c>
      <c r="D82" t="s">
        <v>397</v>
      </c>
      <c r="E82" t="s">
        <v>95</v>
      </c>
      <c r="F82" t="s">
        <v>96</v>
      </c>
      <c r="G82" s="3">
        <v>110550000</v>
      </c>
      <c r="H82" t="s">
        <v>444</v>
      </c>
      <c r="I82" s="3">
        <v>2025</v>
      </c>
      <c r="J82" t="s">
        <v>399</v>
      </c>
      <c r="K82" t="s">
        <v>400</v>
      </c>
      <c r="L82" t="s">
        <v>250</v>
      </c>
      <c r="M82" t="s">
        <v>446</v>
      </c>
    </row>
    <row r="83" spans="1:13">
      <c r="A83" t="s">
        <v>39</v>
      </c>
      <c r="B83" t="s">
        <v>406</v>
      </c>
      <c r="C83" t="s">
        <v>105</v>
      </c>
      <c r="D83" t="s">
        <v>397</v>
      </c>
      <c r="E83" t="s">
        <v>95</v>
      </c>
      <c r="F83" t="s">
        <v>96</v>
      </c>
      <c r="G83" t="s">
        <v>105</v>
      </c>
      <c r="H83" t="s">
        <v>105</v>
      </c>
      <c r="I83" t="s">
        <v>105</v>
      </c>
      <c r="J83" t="s">
        <v>105</v>
      </c>
      <c r="K83" t="s">
        <v>105</v>
      </c>
      <c r="L83" t="s">
        <v>105</v>
      </c>
      <c r="M83" t="s">
        <v>105</v>
      </c>
    </row>
    <row r="84" spans="1:13">
      <c r="A84" t="s">
        <v>40</v>
      </c>
      <c r="B84" t="s">
        <v>409</v>
      </c>
      <c r="C84" t="s">
        <v>396</v>
      </c>
      <c r="D84" t="s">
        <v>397</v>
      </c>
      <c r="E84" t="s">
        <v>95</v>
      </c>
      <c r="F84" t="s">
        <v>96</v>
      </c>
      <c r="G84" s="3">
        <v>61644000</v>
      </c>
      <c r="H84" t="s">
        <v>444</v>
      </c>
      <c r="I84" s="3">
        <v>2025</v>
      </c>
      <c r="J84" t="s">
        <v>399</v>
      </c>
      <c r="K84" t="s">
        <v>400</v>
      </c>
      <c r="L84" t="s">
        <v>250</v>
      </c>
      <c r="M84" t="s">
        <v>446</v>
      </c>
    </row>
    <row r="85" spans="1:13">
      <c r="A85" t="s">
        <v>41</v>
      </c>
      <c r="B85" t="s">
        <v>410</v>
      </c>
      <c r="C85" t="s">
        <v>396</v>
      </c>
      <c r="D85" t="s">
        <v>397</v>
      </c>
      <c r="E85" t="s">
        <v>95</v>
      </c>
      <c r="F85" t="s">
        <v>96</v>
      </c>
      <c r="G85" s="3">
        <v>12876000</v>
      </c>
      <c r="H85" t="s">
        <v>444</v>
      </c>
      <c r="I85" s="3">
        <v>2025</v>
      </c>
      <c r="J85" t="s">
        <v>399</v>
      </c>
      <c r="K85" t="s">
        <v>400</v>
      </c>
      <c r="L85" t="s">
        <v>250</v>
      </c>
      <c r="M85" t="s">
        <v>446</v>
      </c>
    </row>
    <row r="86" spans="1:13">
      <c r="A86" t="s">
        <v>42</v>
      </c>
      <c r="B86" t="s">
        <v>411</v>
      </c>
      <c r="C86" t="s">
        <v>396</v>
      </c>
      <c r="D86" t="s">
        <v>397</v>
      </c>
      <c r="E86" t="s">
        <v>95</v>
      </c>
      <c r="F86" t="s">
        <v>96</v>
      </c>
      <c r="G86" s="3">
        <v>10092000</v>
      </c>
      <c r="H86" t="s">
        <v>444</v>
      </c>
      <c r="I86" s="3">
        <v>2025</v>
      </c>
      <c r="J86" t="s">
        <v>399</v>
      </c>
      <c r="K86" t="s">
        <v>400</v>
      </c>
      <c r="L86" t="s">
        <v>250</v>
      </c>
      <c r="M86" t="s">
        <v>446</v>
      </c>
    </row>
    <row r="87" spans="1:13">
      <c r="A87" t="s">
        <v>43</v>
      </c>
      <c r="B87" t="s">
        <v>412</v>
      </c>
      <c r="C87" t="s">
        <v>396</v>
      </c>
      <c r="D87" t="s">
        <v>397</v>
      </c>
      <c r="E87" t="s">
        <v>95</v>
      </c>
      <c r="F87" t="s">
        <v>96</v>
      </c>
      <c r="G87" s="3">
        <v>27540000</v>
      </c>
      <c r="H87" t="s">
        <v>444</v>
      </c>
      <c r="I87" s="3">
        <v>2025</v>
      </c>
      <c r="J87" t="s">
        <v>399</v>
      </c>
      <c r="K87" t="s">
        <v>400</v>
      </c>
      <c r="L87" t="s">
        <v>250</v>
      </c>
      <c r="M87" t="s">
        <v>446</v>
      </c>
    </row>
    <row r="88" spans="1:13">
      <c r="A88" t="s">
        <v>44</v>
      </c>
      <c r="B88" t="s">
        <v>413</v>
      </c>
      <c r="C88" t="s">
        <v>396</v>
      </c>
      <c r="D88" t="s">
        <v>397</v>
      </c>
      <c r="E88" t="s">
        <v>95</v>
      </c>
      <c r="F88" t="s">
        <v>96</v>
      </c>
      <c r="G88" s="3">
        <v>10621000</v>
      </c>
      <c r="H88" t="s">
        <v>444</v>
      </c>
      <c r="I88" s="3">
        <v>2025</v>
      </c>
      <c r="J88" t="s">
        <v>399</v>
      </c>
      <c r="K88" t="s">
        <v>400</v>
      </c>
      <c r="L88" t="s">
        <v>250</v>
      </c>
      <c r="M88" t="s">
        <v>446</v>
      </c>
    </row>
    <row r="89" spans="1:13">
      <c r="A89" t="s">
        <v>45</v>
      </c>
      <c r="B89" t="s">
        <v>414</v>
      </c>
      <c r="C89" t="s">
        <v>396</v>
      </c>
      <c r="D89" t="s">
        <v>397</v>
      </c>
      <c r="E89" t="s">
        <v>95</v>
      </c>
      <c r="F89" t="s">
        <v>96</v>
      </c>
      <c r="G89" s="3">
        <v>0</v>
      </c>
      <c r="H89" t="s">
        <v>444</v>
      </c>
      <c r="I89" s="3">
        <v>2025</v>
      </c>
      <c r="J89" t="s">
        <v>399</v>
      </c>
      <c r="K89" t="s">
        <v>400</v>
      </c>
      <c r="L89" t="s">
        <v>250</v>
      </c>
      <c r="M89" t="s">
        <v>446</v>
      </c>
    </row>
    <row r="90" spans="1:13">
      <c r="A90" t="s">
        <v>46</v>
      </c>
      <c r="B90" t="s">
        <v>416</v>
      </c>
      <c r="C90" t="s">
        <v>396</v>
      </c>
      <c r="D90" t="s">
        <v>183</v>
      </c>
      <c r="E90" t="s">
        <v>95</v>
      </c>
      <c r="F90" t="s">
        <v>96</v>
      </c>
      <c r="G90" s="3">
        <v>20911000</v>
      </c>
      <c r="H90" t="s">
        <v>444</v>
      </c>
      <c r="I90" s="3">
        <v>2025</v>
      </c>
      <c r="J90" t="s">
        <v>399</v>
      </c>
      <c r="K90" t="s">
        <v>400</v>
      </c>
      <c r="L90" t="s">
        <v>250</v>
      </c>
      <c r="M90" t="s">
        <v>446</v>
      </c>
    </row>
    <row r="91" spans="1:13">
      <c r="A91" t="s">
        <v>47</v>
      </c>
      <c r="B91" t="s">
        <v>417</v>
      </c>
      <c r="C91" t="s">
        <v>396</v>
      </c>
      <c r="D91" t="s">
        <v>183</v>
      </c>
      <c r="E91" t="s">
        <v>95</v>
      </c>
      <c r="F91" t="s">
        <v>96</v>
      </c>
      <c r="G91" s="3">
        <v>20619000</v>
      </c>
      <c r="H91" t="s">
        <v>444</v>
      </c>
      <c r="I91" s="3">
        <v>2025</v>
      </c>
      <c r="J91" t="s">
        <v>399</v>
      </c>
      <c r="K91" t="s">
        <v>400</v>
      </c>
      <c r="L91" t="s">
        <v>250</v>
      </c>
      <c r="M91" t="s">
        <v>446</v>
      </c>
    </row>
    <row r="92" spans="1:13">
      <c r="A92" t="s">
        <v>48</v>
      </c>
      <c r="B92" t="s">
        <v>418</v>
      </c>
      <c r="C92" t="s">
        <v>396</v>
      </c>
      <c r="D92" t="s">
        <v>419</v>
      </c>
      <c r="E92" t="s">
        <v>95</v>
      </c>
      <c r="F92" t="s">
        <v>96</v>
      </c>
      <c r="G92" s="3">
        <v>4.58</v>
      </c>
      <c r="H92" t="s">
        <v>444</v>
      </c>
      <c r="I92" s="3">
        <v>2025</v>
      </c>
      <c r="J92" t="s">
        <v>399</v>
      </c>
      <c r="K92" t="s">
        <v>400</v>
      </c>
      <c r="L92" t="s">
        <v>250</v>
      </c>
      <c r="M92" t="s">
        <v>446</v>
      </c>
    </row>
    <row r="93" spans="1:13">
      <c r="A93" t="s">
        <v>49</v>
      </c>
      <c r="B93" t="s">
        <v>420</v>
      </c>
      <c r="C93" t="s">
        <v>396</v>
      </c>
      <c r="D93" t="s">
        <v>397</v>
      </c>
      <c r="E93" t="s">
        <v>105</v>
      </c>
      <c r="F93" t="s">
        <v>96</v>
      </c>
      <c r="G93" s="3">
        <v>13294000</v>
      </c>
      <c r="H93" t="s">
        <v>426</v>
      </c>
      <c r="I93" s="3">
        <v>2024</v>
      </c>
      <c r="J93" t="s">
        <v>399</v>
      </c>
      <c r="K93" t="s">
        <v>400</v>
      </c>
      <c r="L93" t="s">
        <v>427</v>
      </c>
      <c r="M93" t="s">
        <v>448</v>
      </c>
    </row>
    <row r="94" spans="1:13">
      <c r="A94" t="s">
        <v>50</v>
      </c>
      <c r="B94" t="s">
        <v>422</v>
      </c>
      <c r="C94" t="s">
        <v>396</v>
      </c>
      <c r="D94" t="s">
        <v>397</v>
      </c>
      <c r="E94" t="s">
        <v>105</v>
      </c>
      <c r="F94" t="s">
        <v>96</v>
      </c>
      <c r="G94" s="3">
        <v>1762726000</v>
      </c>
      <c r="H94" t="s">
        <v>426</v>
      </c>
      <c r="I94" s="3">
        <v>2024</v>
      </c>
      <c r="J94" t="s">
        <v>399</v>
      </c>
      <c r="K94" t="s">
        <v>400</v>
      </c>
      <c r="L94" t="s">
        <v>427</v>
      </c>
      <c r="M94" t="s">
        <v>448</v>
      </c>
    </row>
    <row r="95" spans="1:13">
      <c r="A95" t="s">
        <v>51</v>
      </c>
      <c r="B95" t="s">
        <v>423</v>
      </c>
      <c r="C95" t="s">
        <v>396</v>
      </c>
      <c r="D95" t="s">
        <v>397</v>
      </c>
      <c r="E95" t="s">
        <v>105</v>
      </c>
      <c r="F95" t="s">
        <v>96</v>
      </c>
      <c r="G95" s="3">
        <v>709382000</v>
      </c>
      <c r="H95" t="s">
        <v>426</v>
      </c>
      <c r="I95" s="3">
        <v>2024</v>
      </c>
      <c r="J95" t="s">
        <v>399</v>
      </c>
      <c r="K95" t="s">
        <v>400</v>
      </c>
      <c r="L95" t="s">
        <v>427</v>
      </c>
      <c r="M95" t="s">
        <v>448</v>
      </c>
    </row>
    <row r="96" spans="1:13">
      <c r="A96" t="s">
        <v>52</v>
      </c>
      <c r="B96" t="s">
        <v>406</v>
      </c>
      <c r="C96" t="s">
        <v>105</v>
      </c>
      <c r="D96" t="s">
        <v>397</v>
      </c>
      <c r="E96" t="s">
        <v>105</v>
      </c>
      <c r="F96" t="s">
        <v>96</v>
      </c>
      <c r="G96" t="s">
        <v>105</v>
      </c>
      <c r="H96" t="s">
        <v>105</v>
      </c>
      <c r="I96" t="s">
        <v>105</v>
      </c>
      <c r="J96" t="s">
        <v>105</v>
      </c>
      <c r="K96" t="s">
        <v>105</v>
      </c>
      <c r="L96" t="s">
        <v>105</v>
      </c>
      <c r="M96" t="s">
        <v>105</v>
      </c>
    </row>
    <row r="97" spans="1:13">
      <c r="A97" t="s">
        <v>53</v>
      </c>
      <c r="B97" t="s">
        <v>424</v>
      </c>
      <c r="C97" t="s">
        <v>396</v>
      </c>
      <c r="D97" t="s">
        <v>397</v>
      </c>
      <c r="E97" t="s">
        <v>105</v>
      </c>
      <c r="F97" t="s">
        <v>96</v>
      </c>
      <c r="G97" s="3">
        <v>254995000</v>
      </c>
      <c r="H97" t="s">
        <v>426</v>
      </c>
      <c r="I97" s="3">
        <v>2024</v>
      </c>
      <c r="J97" t="s">
        <v>399</v>
      </c>
      <c r="K97" t="s">
        <v>400</v>
      </c>
      <c r="L97" t="s">
        <v>427</v>
      </c>
      <c r="M97" t="s">
        <v>448</v>
      </c>
    </row>
    <row r="98" spans="1:13">
      <c r="A98" t="s">
        <v>54</v>
      </c>
      <c r="B98" t="s">
        <v>425</v>
      </c>
      <c r="C98" t="s">
        <v>396</v>
      </c>
      <c r="D98" t="s">
        <v>397</v>
      </c>
      <c r="E98" t="s">
        <v>105</v>
      </c>
      <c r="F98" t="s">
        <v>96</v>
      </c>
      <c r="G98" s="3">
        <v>885053000</v>
      </c>
      <c r="H98" t="s">
        <v>444</v>
      </c>
      <c r="I98" s="3">
        <v>2025</v>
      </c>
      <c r="J98" t="s">
        <v>399</v>
      </c>
      <c r="K98" t="s">
        <v>400</v>
      </c>
      <c r="L98" t="s">
        <v>250</v>
      </c>
      <c r="M98" t="s">
        <v>448</v>
      </c>
    </row>
    <row r="99" spans="1:13">
      <c r="A99" t="s">
        <v>55</v>
      </c>
      <c r="B99" t="s">
        <v>428</v>
      </c>
      <c r="C99" t="s">
        <v>396</v>
      </c>
      <c r="D99" t="s">
        <v>397</v>
      </c>
      <c r="E99" t="s">
        <v>105</v>
      </c>
      <c r="F99" t="s">
        <v>96</v>
      </c>
      <c r="G99" s="3">
        <v>38597000</v>
      </c>
      <c r="H99" t="s">
        <v>426</v>
      </c>
      <c r="I99" s="3">
        <v>2024</v>
      </c>
      <c r="J99" t="s">
        <v>399</v>
      </c>
      <c r="K99" t="s">
        <v>400</v>
      </c>
      <c r="L99" t="s">
        <v>427</v>
      </c>
      <c r="M99" t="s">
        <v>448</v>
      </c>
    </row>
    <row r="100" spans="1:13">
      <c r="A100" t="s">
        <v>56</v>
      </c>
      <c r="B100" t="s">
        <v>429</v>
      </c>
      <c r="C100" t="s">
        <v>396</v>
      </c>
      <c r="D100" t="s">
        <v>397</v>
      </c>
      <c r="E100" t="s">
        <v>105</v>
      </c>
      <c r="F100" t="s">
        <v>96</v>
      </c>
      <c r="G100" s="3">
        <v>387576000</v>
      </c>
      <c r="H100" t="s">
        <v>426</v>
      </c>
      <c r="I100" s="3">
        <v>2024</v>
      </c>
      <c r="J100" t="s">
        <v>399</v>
      </c>
      <c r="K100" t="s">
        <v>400</v>
      </c>
      <c r="L100" t="s">
        <v>427</v>
      </c>
      <c r="M100" t="s">
        <v>448</v>
      </c>
    </row>
    <row r="101" spans="1:13">
      <c r="A101" t="s">
        <v>57</v>
      </c>
      <c r="B101" t="s">
        <v>430</v>
      </c>
      <c r="C101" t="s">
        <v>396</v>
      </c>
      <c r="D101" t="s">
        <v>397</v>
      </c>
      <c r="E101" t="s">
        <v>105</v>
      </c>
      <c r="F101" t="s">
        <v>96</v>
      </c>
      <c r="G101" s="3">
        <v>428993000</v>
      </c>
      <c r="H101" t="s">
        <v>426</v>
      </c>
      <c r="I101" s="3">
        <v>2024</v>
      </c>
      <c r="J101" t="s">
        <v>399</v>
      </c>
      <c r="K101" t="s">
        <v>400</v>
      </c>
      <c r="L101" t="s">
        <v>427</v>
      </c>
      <c r="M101" t="s">
        <v>448</v>
      </c>
    </row>
    <row r="102" spans="1:13">
      <c r="A102" t="s">
        <v>58</v>
      </c>
      <c r="B102" t="s">
        <v>431</v>
      </c>
      <c r="C102" t="s">
        <v>396</v>
      </c>
      <c r="D102" t="s">
        <v>397</v>
      </c>
      <c r="E102" t="s">
        <v>105</v>
      </c>
      <c r="F102" t="s">
        <v>96</v>
      </c>
      <c r="G102" s="3">
        <v>320873000</v>
      </c>
      <c r="H102" t="s">
        <v>444</v>
      </c>
      <c r="I102" s="3">
        <v>2025</v>
      </c>
      <c r="J102" t="s">
        <v>399</v>
      </c>
      <c r="K102" t="s">
        <v>400</v>
      </c>
      <c r="L102" t="s">
        <v>250</v>
      </c>
      <c r="M102" t="s">
        <v>448</v>
      </c>
    </row>
    <row r="103" spans="1:13">
      <c r="A103" t="s">
        <v>59</v>
      </c>
      <c r="B103" t="s">
        <v>449</v>
      </c>
      <c r="C103" t="s">
        <v>396</v>
      </c>
      <c r="D103" t="s">
        <v>397</v>
      </c>
      <c r="E103" t="s">
        <v>105</v>
      </c>
      <c r="F103" t="s">
        <v>96</v>
      </c>
      <c r="G103" s="3">
        <v>133571000</v>
      </c>
      <c r="H103" t="s">
        <v>426</v>
      </c>
      <c r="I103" s="3">
        <v>2024</v>
      </c>
      <c r="J103" t="s">
        <v>399</v>
      </c>
      <c r="K103" t="s">
        <v>400</v>
      </c>
      <c r="L103" t="s">
        <v>427</v>
      </c>
      <c r="M103" t="s">
        <v>448</v>
      </c>
    </row>
    <row r="104" spans="1:13">
      <c r="A104" t="s">
        <v>60</v>
      </c>
      <c r="B104" t="s">
        <v>433</v>
      </c>
      <c r="C104" t="s">
        <v>396</v>
      </c>
      <c r="D104" t="s">
        <v>397</v>
      </c>
      <c r="E104" t="s">
        <v>105</v>
      </c>
      <c r="F104" t="s">
        <v>96</v>
      </c>
      <c r="G104" s="3">
        <v>192747000</v>
      </c>
      <c r="H104" t="s">
        <v>426</v>
      </c>
      <c r="I104" s="3">
        <v>2024</v>
      </c>
      <c r="J104" t="s">
        <v>399</v>
      </c>
      <c r="K104" t="s">
        <v>400</v>
      </c>
      <c r="L104" t="s">
        <v>427</v>
      </c>
      <c r="M104" t="s">
        <v>448</v>
      </c>
    </row>
    <row r="105" spans="1:13">
      <c r="A105" t="s">
        <v>61</v>
      </c>
      <c r="B105" t="s">
        <v>434</v>
      </c>
      <c r="C105" t="s">
        <v>396</v>
      </c>
      <c r="D105" t="s">
        <v>397</v>
      </c>
      <c r="E105" t="s">
        <v>105</v>
      </c>
      <c r="F105" t="s">
        <v>96</v>
      </c>
      <c r="G105" s="3">
        <v>441597000</v>
      </c>
      <c r="H105" t="s">
        <v>426</v>
      </c>
      <c r="I105" s="3">
        <v>2024</v>
      </c>
      <c r="J105" t="s">
        <v>399</v>
      </c>
      <c r="K105" t="s">
        <v>400</v>
      </c>
      <c r="L105" t="s">
        <v>427</v>
      </c>
      <c r="M105" t="s">
        <v>448</v>
      </c>
    </row>
    <row r="106" spans="1:13">
      <c r="A106" t="s">
        <v>62</v>
      </c>
      <c r="B106" t="s">
        <v>435</v>
      </c>
      <c r="C106" t="s">
        <v>396</v>
      </c>
      <c r="D106" t="s">
        <v>397</v>
      </c>
      <c r="E106" t="s">
        <v>105</v>
      </c>
      <c r="F106" t="s">
        <v>96</v>
      </c>
      <c r="G106" s="3">
        <v>125663000</v>
      </c>
      <c r="H106" t="s">
        <v>426</v>
      </c>
      <c r="I106" s="3">
        <v>2024</v>
      </c>
      <c r="J106" t="s">
        <v>399</v>
      </c>
      <c r="K106" t="s">
        <v>400</v>
      </c>
      <c r="L106" t="s">
        <v>427</v>
      </c>
      <c r="M106" t="s">
        <v>448</v>
      </c>
    </row>
    <row r="107" spans="1:13">
      <c r="A107" t="s">
        <v>63</v>
      </c>
      <c r="B107" t="s">
        <v>436</v>
      </c>
      <c r="C107" t="s">
        <v>396</v>
      </c>
      <c r="D107" t="s">
        <v>183</v>
      </c>
      <c r="E107" t="s">
        <v>105</v>
      </c>
      <c r="F107" t="s">
        <v>96</v>
      </c>
      <c r="G107" s="3">
        <v>27148000</v>
      </c>
      <c r="H107" t="s">
        <v>426</v>
      </c>
      <c r="I107" s="3">
        <v>2024</v>
      </c>
      <c r="J107" t="s">
        <v>399</v>
      </c>
      <c r="K107" t="s">
        <v>400</v>
      </c>
      <c r="L107" t="s">
        <v>427</v>
      </c>
      <c r="M107" t="s">
        <v>448</v>
      </c>
    </row>
    <row r="108" spans="1:13">
      <c r="A108" t="s">
        <v>64</v>
      </c>
      <c r="B108" t="s">
        <v>445</v>
      </c>
      <c r="C108" t="s">
        <v>396</v>
      </c>
      <c r="D108" t="s">
        <v>183</v>
      </c>
      <c r="E108" t="s">
        <v>105</v>
      </c>
      <c r="F108" t="s">
        <v>96</v>
      </c>
      <c r="G108" s="3">
        <v>6502000</v>
      </c>
      <c r="H108" t="s">
        <v>426</v>
      </c>
      <c r="I108" s="3">
        <v>2024</v>
      </c>
      <c r="J108" t="s">
        <v>399</v>
      </c>
      <c r="K108" t="s">
        <v>400</v>
      </c>
      <c r="L108" t="s">
        <v>427</v>
      </c>
      <c r="M108" t="s">
        <v>448</v>
      </c>
    </row>
    <row r="109" spans="1:13">
      <c r="A109" t="s">
        <v>65</v>
      </c>
      <c r="B109" t="s">
        <v>438</v>
      </c>
      <c r="C109" t="s">
        <v>396</v>
      </c>
      <c r="D109" t="s">
        <v>397</v>
      </c>
      <c r="E109" t="s">
        <v>105</v>
      </c>
      <c r="F109" t="s">
        <v>96</v>
      </c>
      <c r="G109" s="3">
        <v>626000</v>
      </c>
      <c r="H109" t="s">
        <v>426</v>
      </c>
      <c r="I109" s="3">
        <v>2024</v>
      </c>
      <c r="J109" t="s">
        <v>399</v>
      </c>
      <c r="K109" t="s">
        <v>400</v>
      </c>
      <c r="L109" t="s">
        <v>427</v>
      </c>
      <c r="M109" t="s">
        <v>448</v>
      </c>
    </row>
    <row r="110" spans="1:13">
      <c r="A110" t="s">
        <v>66</v>
      </c>
      <c r="B110" t="s">
        <v>439</v>
      </c>
      <c r="C110" t="s">
        <v>396</v>
      </c>
      <c r="D110" t="s">
        <v>397</v>
      </c>
      <c r="E110" t="s">
        <v>105</v>
      </c>
      <c r="F110" t="s">
        <v>96</v>
      </c>
      <c r="G110" s="3">
        <v>13744000</v>
      </c>
      <c r="H110" t="s">
        <v>426</v>
      </c>
      <c r="I110" s="3">
        <v>2024</v>
      </c>
      <c r="J110" t="s">
        <v>399</v>
      </c>
      <c r="K110" t="s">
        <v>400</v>
      </c>
      <c r="L110" t="s">
        <v>427</v>
      </c>
      <c r="M110" t="s">
        <v>448</v>
      </c>
    </row>
    <row r="111" spans="1:13">
      <c r="A111" t="s">
        <v>31</v>
      </c>
      <c r="B111" t="s">
        <v>395</v>
      </c>
      <c r="C111" t="s">
        <v>396</v>
      </c>
      <c r="D111" t="s">
        <v>397</v>
      </c>
      <c r="E111" t="s">
        <v>98</v>
      </c>
      <c r="F111" t="s">
        <v>99</v>
      </c>
      <c r="G111" s="3">
        <v>1684739000</v>
      </c>
      <c r="H111" t="s">
        <v>444</v>
      </c>
      <c r="I111" s="3">
        <v>2025</v>
      </c>
      <c r="J111" t="s">
        <v>399</v>
      </c>
      <c r="K111" t="s">
        <v>400</v>
      </c>
      <c r="L111" t="s">
        <v>250</v>
      </c>
      <c r="M111" t="s">
        <v>450</v>
      </c>
    </row>
    <row r="112" spans="1:13">
      <c r="A112" t="s">
        <v>32</v>
      </c>
      <c r="B112" t="s">
        <v>402</v>
      </c>
      <c r="C112" t="s">
        <v>396</v>
      </c>
      <c r="D112" t="s">
        <v>397</v>
      </c>
      <c r="E112" t="s">
        <v>98</v>
      </c>
      <c r="F112" t="s">
        <v>99</v>
      </c>
      <c r="G112" s="3">
        <v>325985000</v>
      </c>
      <c r="H112" t="s">
        <v>444</v>
      </c>
      <c r="I112" s="3">
        <v>2025</v>
      </c>
      <c r="J112" t="s">
        <v>399</v>
      </c>
      <c r="K112" t="s">
        <v>400</v>
      </c>
      <c r="L112" t="s">
        <v>250</v>
      </c>
      <c r="M112" t="s">
        <v>450</v>
      </c>
    </row>
    <row r="113" spans="1:13">
      <c r="A113" t="s">
        <v>33</v>
      </c>
      <c r="B113" t="s">
        <v>403</v>
      </c>
      <c r="C113" t="s">
        <v>396</v>
      </c>
      <c r="D113" t="s">
        <v>397</v>
      </c>
      <c r="E113" t="s">
        <v>98</v>
      </c>
      <c r="F113" t="s">
        <v>99</v>
      </c>
      <c r="G113" s="3">
        <v>47223000</v>
      </c>
      <c r="H113" t="s">
        <v>444</v>
      </c>
      <c r="I113" s="3">
        <v>2025</v>
      </c>
      <c r="J113" t="s">
        <v>399</v>
      </c>
      <c r="K113" t="s">
        <v>400</v>
      </c>
      <c r="L113" t="s">
        <v>250</v>
      </c>
      <c r="M113" t="s">
        <v>450</v>
      </c>
    </row>
    <row r="114" spans="1:13">
      <c r="A114" t="s">
        <v>34</v>
      </c>
      <c r="B114" t="s">
        <v>404</v>
      </c>
      <c r="C114" t="s">
        <v>396</v>
      </c>
      <c r="D114" t="s">
        <v>397</v>
      </c>
      <c r="E114" t="s">
        <v>98</v>
      </c>
      <c r="F114" t="s">
        <v>99</v>
      </c>
      <c r="G114" s="3">
        <v>5888000</v>
      </c>
      <c r="H114" t="s">
        <v>444</v>
      </c>
      <c r="I114" s="3">
        <v>2025</v>
      </c>
      <c r="J114" t="s">
        <v>399</v>
      </c>
      <c r="K114" t="s">
        <v>400</v>
      </c>
      <c r="L114" t="s">
        <v>250</v>
      </c>
      <c r="M114" t="s">
        <v>450</v>
      </c>
    </row>
    <row r="115" spans="1:13">
      <c r="A115" t="s">
        <v>35</v>
      </c>
      <c r="B115" t="s">
        <v>405</v>
      </c>
      <c r="C115" t="s">
        <v>396</v>
      </c>
      <c r="D115" t="s">
        <v>397</v>
      </c>
      <c r="E115" t="s">
        <v>98</v>
      </c>
      <c r="F115" t="s">
        <v>99</v>
      </c>
      <c r="G115" s="3">
        <v>9014000</v>
      </c>
      <c r="H115" t="s">
        <v>444</v>
      </c>
      <c r="I115" s="3">
        <v>2025</v>
      </c>
      <c r="J115" t="s">
        <v>399</v>
      </c>
      <c r="K115" t="s">
        <v>400</v>
      </c>
      <c r="L115" t="s">
        <v>250</v>
      </c>
      <c r="M115" t="s">
        <v>450</v>
      </c>
    </row>
    <row r="116" spans="1:13">
      <c r="A116" t="s">
        <v>36</v>
      </c>
      <c r="B116" t="s">
        <v>442</v>
      </c>
      <c r="C116" t="s">
        <v>396</v>
      </c>
      <c r="D116" t="s">
        <v>397</v>
      </c>
      <c r="E116" t="s">
        <v>98</v>
      </c>
      <c r="F116" t="s">
        <v>99</v>
      </c>
      <c r="G116" s="3">
        <v>34764000</v>
      </c>
      <c r="H116" t="s">
        <v>444</v>
      </c>
      <c r="I116" s="3">
        <v>2025</v>
      </c>
      <c r="J116" t="s">
        <v>399</v>
      </c>
      <c r="K116" t="s">
        <v>400</v>
      </c>
      <c r="L116" t="s">
        <v>250</v>
      </c>
      <c r="M116" t="s">
        <v>450</v>
      </c>
    </row>
    <row r="117" spans="1:13">
      <c r="A117" t="s">
        <v>37</v>
      </c>
      <c r="B117" t="s">
        <v>407</v>
      </c>
      <c r="C117" t="s">
        <v>396</v>
      </c>
      <c r="D117" t="s">
        <v>397</v>
      </c>
      <c r="E117" t="s">
        <v>98</v>
      </c>
      <c r="F117" t="s">
        <v>99</v>
      </c>
      <c r="G117" s="3">
        <v>87817000</v>
      </c>
      <c r="H117" t="s">
        <v>444</v>
      </c>
      <c r="I117" s="3">
        <v>2025</v>
      </c>
      <c r="J117" t="s">
        <v>399</v>
      </c>
      <c r="K117" t="s">
        <v>400</v>
      </c>
      <c r="L117" t="s">
        <v>250</v>
      </c>
      <c r="M117" t="s">
        <v>450</v>
      </c>
    </row>
    <row r="118" spans="1:13">
      <c r="A118" t="s">
        <v>38</v>
      </c>
      <c r="B118" t="s">
        <v>447</v>
      </c>
      <c r="C118" t="s">
        <v>396</v>
      </c>
      <c r="D118" t="s">
        <v>397</v>
      </c>
      <c r="E118" t="s">
        <v>98</v>
      </c>
      <c r="F118" t="s">
        <v>99</v>
      </c>
      <c r="G118" s="3">
        <v>68649000</v>
      </c>
      <c r="H118" t="s">
        <v>444</v>
      </c>
      <c r="I118" s="3">
        <v>2025</v>
      </c>
      <c r="J118" t="s">
        <v>399</v>
      </c>
      <c r="K118" t="s">
        <v>400</v>
      </c>
      <c r="L118" t="s">
        <v>250</v>
      </c>
      <c r="M118" t="s">
        <v>450</v>
      </c>
    </row>
    <row r="119" spans="1:13">
      <c r="A119" t="s">
        <v>39</v>
      </c>
      <c r="B119" t="s">
        <v>406</v>
      </c>
      <c r="C119" t="s">
        <v>105</v>
      </c>
      <c r="D119" t="s">
        <v>397</v>
      </c>
      <c r="E119" t="s">
        <v>98</v>
      </c>
      <c r="F119" t="s">
        <v>99</v>
      </c>
      <c r="G119" t="s">
        <v>105</v>
      </c>
      <c r="H119" t="s">
        <v>105</v>
      </c>
      <c r="I119" t="s">
        <v>105</v>
      </c>
      <c r="J119" t="s">
        <v>105</v>
      </c>
      <c r="K119" t="s">
        <v>105</v>
      </c>
      <c r="L119" t="s">
        <v>105</v>
      </c>
      <c r="M119" t="s">
        <v>105</v>
      </c>
    </row>
    <row r="120" spans="1:13">
      <c r="A120" t="s">
        <v>40</v>
      </c>
      <c r="B120" t="s">
        <v>409</v>
      </c>
      <c r="C120" t="s">
        <v>396</v>
      </c>
      <c r="D120" t="s">
        <v>397</v>
      </c>
      <c r="E120" t="s">
        <v>98</v>
      </c>
      <c r="F120" t="s">
        <v>99</v>
      </c>
      <c r="G120" s="3">
        <v>68676000</v>
      </c>
      <c r="H120" t="s">
        <v>444</v>
      </c>
      <c r="I120" s="3">
        <v>2025</v>
      </c>
      <c r="J120" t="s">
        <v>399</v>
      </c>
      <c r="K120" t="s">
        <v>400</v>
      </c>
      <c r="L120" t="s">
        <v>250</v>
      </c>
      <c r="M120" t="s">
        <v>450</v>
      </c>
    </row>
    <row r="121" spans="1:13">
      <c r="A121" t="s">
        <v>41</v>
      </c>
      <c r="B121" t="s">
        <v>410</v>
      </c>
      <c r="C121" t="s">
        <v>396</v>
      </c>
      <c r="D121" t="s">
        <v>397</v>
      </c>
      <c r="E121" t="s">
        <v>98</v>
      </c>
      <c r="F121" t="s">
        <v>99</v>
      </c>
      <c r="G121" s="3">
        <v>12134000</v>
      </c>
      <c r="H121" t="s">
        <v>444</v>
      </c>
      <c r="I121" s="3">
        <v>2025</v>
      </c>
      <c r="J121" t="s">
        <v>399</v>
      </c>
      <c r="K121" t="s">
        <v>400</v>
      </c>
      <c r="L121" t="s">
        <v>250</v>
      </c>
      <c r="M121" t="s">
        <v>450</v>
      </c>
    </row>
    <row r="122" spans="1:13">
      <c r="A122" t="s">
        <v>42</v>
      </c>
      <c r="B122" t="s">
        <v>411</v>
      </c>
      <c r="C122" t="s">
        <v>396</v>
      </c>
      <c r="D122" t="s">
        <v>397</v>
      </c>
      <c r="E122" t="s">
        <v>98</v>
      </c>
      <c r="F122" t="s">
        <v>99</v>
      </c>
      <c r="G122" s="3">
        <v>10560000</v>
      </c>
      <c r="H122" t="s">
        <v>444</v>
      </c>
      <c r="I122" s="3">
        <v>2025</v>
      </c>
      <c r="J122" t="s">
        <v>399</v>
      </c>
      <c r="K122" t="s">
        <v>400</v>
      </c>
      <c r="L122" t="s">
        <v>250</v>
      </c>
      <c r="M122" t="s">
        <v>450</v>
      </c>
    </row>
    <row r="123" spans="1:13">
      <c r="A123" t="s">
        <v>43</v>
      </c>
      <c r="B123" t="s">
        <v>412</v>
      </c>
      <c r="C123" t="s">
        <v>396</v>
      </c>
      <c r="D123" t="s">
        <v>397</v>
      </c>
      <c r="E123" t="s">
        <v>98</v>
      </c>
      <c r="F123" t="s">
        <v>99</v>
      </c>
      <c r="G123" s="3">
        <v>29028000</v>
      </c>
      <c r="H123" t="s">
        <v>444</v>
      </c>
      <c r="I123" s="3">
        <v>2025</v>
      </c>
      <c r="J123" t="s">
        <v>399</v>
      </c>
      <c r="K123" t="s">
        <v>400</v>
      </c>
      <c r="L123" t="s">
        <v>250</v>
      </c>
      <c r="M123" t="s">
        <v>450</v>
      </c>
    </row>
    <row r="124" spans="1:13">
      <c r="A124" t="s">
        <v>44</v>
      </c>
      <c r="B124" t="s">
        <v>413</v>
      </c>
      <c r="C124" t="s">
        <v>396</v>
      </c>
      <c r="D124" t="s">
        <v>397</v>
      </c>
      <c r="E124" t="s">
        <v>98</v>
      </c>
      <c r="F124" t="s">
        <v>99</v>
      </c>
      <c r="G124" s="3">
        <v>11087000</v>
      </c>
      <c r="H124" t="s">
        <v>444</v>
      </c>
      <c r="I124" s="3">
        <v>2025</v>
      </c>
      <c r="J124" t="s">
        <v>399</v>
      </c>
      <c r="K124" t="s">
        <v>400</v>
      </c>
      <c r="L124" t="s">
        <v>250</v>
      </c>
      <c r="M124" t="s">
        <v>450</v>
      </c>
    </row>
    <row r="125" spans="1:13">
      <c r="A125" t="s">
        <v>45</v>
      </c>
      <c r="B125" t="s">
        <v>414</v>
      </c>
      <c r="C125" t="s">
        <v>396</v>
      </c>
      <c r="D125" t="s">
        <v>397</v>
      </c>
      <c r="E125" t="s">
        <v>98</v>
      </c>
      <c r="F125" t="s">
        <v>99</v>
      </c>
      <c r="G125" s="3">
        <v>0</v>
      </c>
      <c r="H125" t="s">
        <v>444</v>
      </c>
      <c r="I125" s="3">
        <v>2025</v>
      </c>
      <c r="J125" t="s">
        <v>399</v>
      </c>
      <c r="K125" t="s">
        <v>400</v>
      </c>
      <c r="L125" t="s">
        <v>250</v>
      </c>
      <c r="M125" t="s">
        <v>450</v>
      </c>
    </row>
    <row r="126" spans="1:13">
      <c r="A126" t="s">
        <v>46</v>
      </c>
      <c r="B126" t="s">
        <v>416</v>
      </c>
      <c r="C126" t="s">
        <v>396</v>
      </c>
      <c r="D126" t="s">
        <v>183</v>
      </c>
      <c r="E126" t="s">
        <v>98</v>
      </c>
      <c r="F126" t="s">
        <v>99</v>
      </c>
      <c r="G126" s="3">
        <v>20928000</v>
      </c>
      <c r="H126" t="s">
        <v>444</v>
      </c>
      <c r="I126" s="3">
        <v>2025</v>
      </c>
      <c r="J126" t="s">
        <v>399</v>
      </c>
      <c r="K126" t="s">
        <v>400</v>
      </c>
      <c r="L126" t="s">
        <v>250</v>
      </c>
      <c r="M126" t="s">
        <v>450</v>
      </c>
    </row>
    <row r="127" spans="1:13">
      <c r="A127" t="s">
        <v>47</v>
      </c>
      <c r="B127" t="s">
        <v>417</v>
      </c>
      <c r="C127" t="s">
        <v>396</v>
      </c>
      <c r="D127" t="s">
        <v>183</v>
      </c>
      <c r="E127" t="s">
        <v>98</v>
      </c>
      <c r="F127" t="s">
        <v>99</v>
      </c>
      <c r="G127" s="3">
        <v>20732000</v>
      </c>
      <c r="H127" t="s">
        <v>444</v>
      </c>
      <c r="I127" s="3">
        <v>2025</v>
      </c>
      <c r="J127" t="s">
        <v>399</v>
      </c>
      <c r="K127" t="s">
        <v>400</v>
      </c>
      <c r="L127" t="s">
        <v>250</v>
      </c>
      <c r="M127" t="s">
        <v>450</v>
      </c>
    </row>
    <row r="128" spans="1:13">
      <c r="A128" t="s">
        <v>48</v>
      </c>
      <c r="B128" t="s">
        <v>418</v>
      </c>
      <c r="C128" t="s">
        <v>396</v>
      </c>
      <c r="D128" t="s">
        <v>419</v>
      </c>
      <c r="E128" t="s">
        <v>98</v>
      </c>
      <c r="F128" t="s">
        <v>99</v>
      </c>
      <c r="G128" s="3">
        <v>0.28</v>
      </c>
      <c r="H128" t="s">
        <v>444</v>
      </c>
      <c r="I128" s="3">
        <v>2025</v>
      </c>
      <c r="J128" t="s">
        <v>399</v>
      </c>
      <c r="K128" t="s">
        <v>400</v>
      </c>
      <c r="L128" t="s">
        <v>250</v>
      </c>
      <c r="M128" t="s">
        <v>450</v>
      </c>
    </row>
    <row r="129" spans="1:13">
      <c r="A129" t="s">
        <v>49</v>
      </c>
      <c r="B129" t="s">
        <v>420</v>
      </c>
      <c r="C129" t="s">
        <v>396</v>
      </c>
      <c r="D129" t="s">
        <v>397</v>
      </c>
      <c r="E129" t="s">
        <v>105</v>
      </c>
      <c r="F129" t="s">
        <v>99</v>
      </c>
      <c r="G129" s="3">
        <v>16713000</v>
      </c>
      <c r="H129" t="s">
        <v>444</v>
      </c>
      <c r="I129" s="3">
        <v>2025</v>
      </c>
      <c r="J129" t="s">
        <v>399</v>
      </c>
      <c r="K129" t="s">
        <v>400</v>
      </c>
      <c r="L129" t="s">
        <v>250</v>
      </c>
      <c r="M129" t="s">
        <v>451</v>
      </c>
    </row>
    <row r="130" spans="1:13">
      <c r="A130" t="s">
        <v>50</v>
      </c>
      <c r="B130" t="s">
        <v>422</v>
      </c>
      <c r="C130" t="s">
        <v>396</v>
      </c>
      <c r="D130" t="s">
        <v>397</v>
      </c>
      <c r="E130" t="s">
        <v>105</v>
      </c>
      <c r="F130" t="s">
        <v>99</v>
      </c>
      <c r="G130" s="3">
        <v>1697632000</v>
      </c>
      <c r="H130" t="s">
        <v>444</v>
      </c>
      <c r="I130" s="3">
        <v>2025</v>
      </c>
      <c r="J130" t="s">
        <v>399</v>
      </c>
      <c r="K130" t="s">
        <v>400</v>
      </c>
      <c r="L130" t="s">
        <v>250</v>
      </c>
      <c r="M130" t="s">
        <v>451</v>
      </c>
    </row>
    <row r="131" spans="1:13">
      <c r="A131" t="s">
        <v>51</v>
      </c>
      <c r="B131" t="s">
        <v>423</v>
      </c>
      <c r="C131" t="s">
        <v>396</v>
      </c>
      <c r="D131" t="s">
        <v>397</v>
      </c>
      <c r="E131" t="s">
        <v>105</v>
      </c>
      <c r="F131" t="s">
        <v>99</v>
      </c>
      <c r="G131" s="3">
        <v>724224000</v>
      </c>
      <c r="H131" t="s">
        <v>444</v>
      </c>
      <c r="I131" s="3">
        <v>2025</v>
      </c>
      <c r="J131" t="s">
        <v>399</v>
      </c>
      <c r="K131" t="s">
        <v>400</v>
      </c>
      <c r="L131" t="s">
        <v>250</v>
      </c>
      <c r="M131" t="s">
        <v>451</v>
      </c>
    </row>
    <row r="132" spans="1:13">
      <c r="A132" t="s">
        <v>52</v>
      </c>
      <c r="B132" t="s">
        <v>406</v>
      </c>
      <c r="C132" t="s">
        <v>105</v>
      </c>
      <c r="D132" t="s">
        <v>397</v>
      </c>
      <c r="E132" t="s">
        <v>105</v>
      </c>
      <c r="F132" t="s">
        <v>99</v>
      </c>
      <c r="G132" t="s">
        <v>105</v>
      </c>
      <c r="H132" t="s">
        <v>105</v>
      </c>
      <c r="I132" t="s">
        <v>105</v>
      </c>
      <c r="J132" t="s">
        <v>105</v>
      </c>
      <c r="K132" t="s">
        <v>105</v>
      </c>
      <c r="L132" t="s">
        <v>105</v>
      </c>
      <c r="M132" t="s">
        <v>105</v>
      </c>
    </row>
    <row r="133" spans="1:13">
      <c r="A133" t="s">
        <v>53</v>
      </c>
      <c r="B133" t="s">
        <v>424</v>
      </c>
      <c r="C133" t="s">
        <v>396</v>
      </c>
      <c r="D133" t="s">
        <v>397</v>
      </c>
      <c r="E133" t="s">
        <v>105</v>
      </c>
      <c r="F133" t="s">
        <v>99</v>
      </c>
      <c r="G133" s="3">
        <v>226734000</v>
      </c>
      <c r="H133" t="s">
        <v>444</v>
      </c>
      <c r="I133" s="3">
        <v>2025</v>
      </c>
      <c r="J133" t="s">
        <v>399</v>
      </c>
      <c r="K133" t="s">
        <v>400</v>
      </c>
      <c r="L133" t="s">
        <v>250</v>
      </c>
      <c r="M133" t="s">
        <v>451</v>
      </c>
    </row>
    <row r="134" spans="1:13">
      <c r="A134" t="s">
        <v>54</v>
      </c>
      <c r="B134" t="s">
        <v>425</v>
      </c>
      <c r="C134" t="s">
        <v>396</v>
      </c>
      <c r="D134" t="s">
        <v>397</v>
      </c>
      <c r="E134" t="s">
        <v>105</v>
      </c>
      <c r="F134" t="s">
        <v>99</v>
      </c>
      <c r="G134" s="3">
        <v>868881000</v>
      </c>
      <c r="H134" t="s">
        <v>452</v>
      </c>
      <c r="I134" s="3">
        <v>2026</v>
      </c>
      <c r="J134" t="s">
        <v>453</v>
      </c>
      <c r="K134" t="s">
        <v>454</v>
      </c>
      <c r="L134" t="s">
        <v>260</v>
      </c>
      <c r="M134" t="s">
        <v>451</v>
      </c>
    </row>
    <row r="135" spans="1:13">
      <c r="A135" t="s">
        <v>55</v>
      </c>
      <c r="B135" t="s">
        <v>428</v>
      </c>
      <c r="C135" t="s">
        <v>396</v>
      </c>
      <c r="D135" t="s">
        <v>397</v>
      </c>
      <c r="E135" t="s">
        <v>105</v>
      </c>
      <c r="F135" t="s">
        <v>99</v>
      </c>
      <c r="G135" s="3">
        <v>34274000</v>
      </c>
      <c r="H135" t="s">
        <v>444</v>
      </c>
      <c r="I135" s="3">
        <v>2025</v>
      </c>
      <c r="J135" t="s">
        <v>399</v>
      </c>
      <c r="K135" t="s">
        <v>400</v>
      </c>
      <c r="L135" t="s">
        <v>250</v>
      </c>
      <c r="M135" t="s">
        <v>451</v>
      </c>
    </row>
    <row r="136" spans="1:13">
      <c r="A136" t="s">
        <v>56</v>
      </c>
      <c r="B136" t="s">
        <v>429</v>
      </c>
      <c r="C136" t="s">
        <v>396</v>
      </c>
      <c r="D136" t="s">
        <v>397</v>
      </c>
      <c r="E136" t="s">
        <v>105</v>
      </c>
      <c r="F136" t="s">
        <v>99</v>
      </c>
      <c r="G136" s="3">
        <v>407734000</v>
      </c>
      <c r="H136" t="s">
        <v>444</v>
      </c>
      <c r="I136" s="3">
        <v>2025</v>
      </c>
      <c r="J136" t="s">
        <v>399</v>
      </c>
      <c r="K136" t="s">
        <v>400</v>
      </c>
      <c r="L136" t="s">
        <v>250</v>
      </c>
      <c r="M136" t="s">
        <v>451</v>
      </c>
    </row>
    <row r="137" spans="1:13">
      <c r="A137" t="s">
        <v>57</v>
      </c>
      <c r="B137" t="s">
        <v>430</v>
      </c>
      <c r="C137" t="s">
        <v>396</v>
      </c>
      <c r="D137" t="s">
        <v>397</v>
      </c>
      <c r="E137" t="s">
        <v>105</v>
      </c>
      <c r="F137" t="s">
        <v>99</v>
      </c>
      <c r="G137" s="3">
        <v>443899000</v>
      </c>
      <c r="H137" t="s">
        <v>444</v>
      </c>
      <c r="I137" s="3">
        <v>2025</v>
      </c>
      <c r="J137" t="s">
        <v>399</v>
      </c>
      <c r="K137" t="s">
        <v>400</v>
      </c>
      <c r="L137" t="s">
        <v>250</v>
      </c>
      <c r="M137" t="s">
        <v>451</v>
      </c>
    </row>
    <row r="138" spans="1:13">
      <c r="A138" t="s">
        <v>58</v>
      </c>
      <c r="B138" t="s">
        <v>431</v>
      </c>
      <c r="C138" t="s">
        <v>396</v>
      </c>
      <c r="D138" t="s">
        <v>397</v>
      </c>
      <c r="E138" t="s">
        <v>105</v>
      </c>
      <c r="F138" t="s">
        <v>99</v>
      </c>
      <c r="G138" s="3">
        <v>263738000</v>
      </c>
      <c r="H138" t="s">
        <v>444</v>
      </c>
      <c r="I138" s="3">
        <v>2025</v>
      </c>
      <c r="J138" t="s">
        <v>399</v>
      </c>
      <c r="K138" t="s">
        <v>400</v>
      </c>
      <c r="L138" t="s">
        <v>250</v>
      </c>
      <c r="M138" t="s">
        <v>451</v>
      </c>
    </row>
    <row r="139" spans="1:13">
      <c r="A139" t="s">
        <v>59</v>
      </c>
      <c r="B139" t="s">
        <v>449</v>
      </c>
      <c r="C139" t="s">
        <v>396</v>
      </c>
      <c r="D139" t="s">
        <v>397</v>
      </c>
      <c r="E139" t="s">
        <v>105</v>
      </c>
      <c r="F139" t="s">
        <v>99</v>
      </c>
      <c r="G139" s="3">
        <v>109312000</v>
      </c>
      <c r="H139" t="s">
        <v>444</v>
      </c>
      <c r="I139" s="3">
        <v>2025</v>
      </c>
      <c r="J139" t="s">
        <v>399</v>
      </c>
      <c r="K139" t="s">
        <v>400</v>
      </c>
      <c r="L139" t="s">
        <v>250</v>
      </c>
      <c r="M139" t="s">
        <v>451</v>
      </c>
    </row>
    <row r="140" spans="1:13">
      <c r="A140" t="s">
        <v>60</v>
      </c>
      <c r="B140" t="s">
        <v>433</v>
      </c>
      <c r="C140" t="s">
        <v>396</v>
      </c>
      <c r="D140" t="s">
        <v>397</v>
      </c>
      <c r="E140" t="s">
        <v>105</v>
      </c>
      <c r="F140" t="s">
        <v>99</v>
      </c>
      <c r="G140" s="3">
        <v>193793000</v>
      </c>
      <c r="H140" t="s">
        <v>444</v>
      </c>
      <c r="I140" s="3">
        <v>2025</v>
      </c>
      <c r="J140" t="s">
        <v>399</v>
      </c>
      <c r="K140" t="s">
        <v>400</v>
      </c>
      <c r="L140" t="s">
        <v>250</v>
      </c>
      <c r="M140" t="s">
        <v>451</v>
      </c>
    </row>
    <row r="141" spans="1:13">
      <c r="A141" t="s">
        <v>61</v>
      </c>
      <c r="B141" t="s">
        <v>434</v>
      </c>
      <c r="C141" t="s">
        <v>396</v>
      </c>
      <c r="D141" t="s">
        <v>397</v>
      </c>
      <c r="E141" t="s">
        <v>105</v>
      </c>
      <c r="F141" t="s">
        <v>99</v>
      </c>
      <c r="G141" s="3">
        <v>441299000</v>
      </c>
      <c r="H141" t="s">
        <v>444</v>
      </c>
      <c r="I141" s="3">
        <v>2025</v>
      </c>
      <c r="J141" t="s">
        <v>399</v>
      </c>
      <c r="K141" t="s">
        <v>400</v>
      </c>
      <c r="L141" t="s">
        <v>250</v>
      </c>
      <c r="M141" t="s">
        <v>451</v>
      </c>
    </row>
    <row r="142" spans="1:13">
      <c r="A142" t="s">
        <v>62</v>
      </c>
      <c r="B142" t="s">
        <v>435</v>
      </c>
      <c r="C142" t="s">
        <v>396</v>
      </c>
      <c r="D142" t="s">
        <v>397</v>
      </c>
      <c r="E142" t="s">
        <v>105</v>
      </c>
      <c r="F142" t="s">
        <v>99</v>
      </c>
      <c r="G142" s="3">
        <v>105901000</v>
      </c>
      <c r="H142" t="s">
        <v>444</v>
      </c>
      <c r="I142" s="3">
        <v>2025</v>
      </c>
      <c r="J142" t="s">
        <v>399</v>
      </c>
      <c r="K142" t="s">
        <v>400</v>
      </c>
      <c r="L142" t="s">
        <v>250</v>
      </c>
      <c r="M142" t="s">
        <v>451</v>
      </c>
    </row>
    <row r="143" spans="1:13">
      <c r="A143" t="s">
        <v>63</v>
      </c>
      <c r="B143" t="s">
        <v>436</v>
      </c>
      <c r="C143" t="s">
        <v>396</v>
      </c>
      <c r="D143" t="s">
        <v>183</v>
      </c>
      <c r="E143" t="s">
        <v>105</v>
      </c>
      <c r="F143" t="s">
        <v>99</v>
      </c>
      <c r="G143" s="3">
        <v>27148000</v>
      </c>
      <c r="H143" t="s">
        <v>444</v>
      </c>
      <c r="I143" s="3">
        <v>2025</v>
      </c>
      <c r="J143" t="s">
        <v>399</v>
      </c>
      <c r="K143" t="s">
        <v>400</v>
      </c>
      <c r="L143" t="s">
        <v>250</v>
      </c>
      <c r="M143" t="s">
        <v>451</v>
      </c>
    </row>
    <row r="144" spans="1:13">
      <c r="A144" t="s">
        <v>64</v>
      </c>
      <c r="B144" t="s">
        <v>445</v>
      </c>
      <c r="C144" t="s">
        <v>396</v>
      </c>
      <c r="D144" t="s">
        <v>183</v>
      </c>
      <c r="E144" t="s">
        <v>105</v>
      </c>
      <c r="F144" t="s">
        <v>99</v>
      </c>
      <c r="G144" s="3">
        <v>6384000</v>
      </c>
      <c r="H144" t="s">
        <v>444</v>
      </c>
      <c r="I144" s="3">
        <v>2025</v>
      </c>
      <c r="J144" t="s">
        <v>399</v>
      </c>
      <c r="K144" t="s">
        <v>400</v>
      </c>
      <c r="L144" t="s">
        <v>250</v>
      </c>
      <c r="M144" t="s">
        <v>451</v>
      </c>
    </row>
    <row r="145" spans="1:13">
      <c r="A145" t="s">
        <v>65</v>
      </c>
      <c r="B145" t="s">
        <v>438</v>
      </c>
      <c r="C145" t="s">
        <v>396</v>
      </c>
      <c r="D145" t="s">
        <v>397</v>
      </c>
      <c r="E145" t="s">
        <v>105</v>
      </c>
      <c r="F145" t="s">
        <v>99</v>
      </c>
      <c r="G145" s="3">
        <v>552000</v>
      </c>
      <c r="H145" t="s">
        <v>444</v>
      </c>
      <c r="I145" s="3">
        <v>2025</v>
      </c>
      <c r="J145" t="s">
        <v>399</v>
      </c>
      <c r="K145" t="s">
        <v>400</v>
      </c>
      <c r="L145" t="s">
        <v>250</v>
      </c>
      <c r="M145" t="s">
        <v>451</v>
      </c>
    </row>
    <row r="146" spans="1:13">
      <c r="A146" t="s">
        <v>66</v>
      </c>
      <c r="B146" t="s">
        <v>439</v>
      </c>
      <c r="C146" t="s">
        <v>396</v>
      </c>
      <c r="D146" t="s">
        <v>397</v>
      </c>
      <c r="E146" t="s">
        <v>105</v>
      </c>
      <c r="F146" t="s">
        <v>99</v>
      </c>
      <c r="G146" s="3">
        <v>12404000</v>
      </c>
      <c r="H146" t="s">
        <v>444</v>
      </c>
      <c r="I146" s="3">
        <v>2025</v>
      </c>
      <c r="J146" t="s">
        <v>399</v>
      </c>
      <c r="K146" t="s">
        <v>400</v>
      </c>
      <c r="L146" t="s">
        <v>250</v>
      </c>
      <c r="M146" t="s">
        <v>451</v>
      </c>
    </row>
    <row r="147" spans="1:13">
      <c r="A147" t="s">
        <v>31</v>
      </c>
      <c r="B147" t="s">
        <v>395</v>
      </c>
      <c r="C147" t="s">
        <v>396</v>
      </c>
      <c r="D147" t="s">
        <v>397</v>
      </c>
      <c r="E147" t="s">
        <v>101</v>
      </c>
      <c r="F147" t="s">
        <v>102</v>
      </c>
      <c r="G147" s="3">
        <v>1786550000</v>
      </c>
      <c r="H147" t="s">
        <v>444</v>
      </c>
      <c r="I147" s="3">
        <v>2025</v>
      </c>
      <c r="J147" t="s">
        <v>399</v>
      </c>
      <c r="K147" t="s">
        <v>400</v>
      </c>
      <c r="L147" t="s">
        <v>250</v>
      </c>
      <c r="M147" t="s">
        <v>455</v>
      </c>
    </row>
    <row r="148" spans="1:13">
      <c r="A148" t="s">
        <v>32</v>
      </c>
      <c r="B148" t="s">
        <v>402</v>
      </c>
      <c r="C148" t="s">
        <v>396</v>
      </c>
      <c r="D148" t="s">
        <v>397</v>
      </c>
      <c r="E148" t="s">
        <v>101</v>
      </c>
      <c r="F148" t="s">
        <v>102</v>
      </c>
      <c r="G148" s="3">
        <v>308626000</v>
      </c>
      <c r="H148" t="s">
        <v>444</v>
      </c>
      <c r="I148" s="3">
        <v>2025</v>
      </c>
      <c r="J148" t="s">
        <v>399</v>
      </c>
      <c r="K148" t="s">
        <v>400</v>
      </c>
      <c r="L148" t="s">
        <v>250</v>
      </c>
      <c r="M148" t="s">
        <v>455</v>
      </c>
    </row>
    <row r="149" spans="1:13">
      <c r="A149" t="s">
        <v>33</v>
      </c>
      <c r="B149" t="s">
        <v>403</v>
      </c>
      <c r="C149" t="s">
        <v>396</v>
      </c>
      <c r="D149" t="s">
        <v>397</v>
      </c>
      <c r="E149" t="s">
        <v>101</v>
      </c>
      <c r="F149" t="s">
        <v>102</v>
      </c>
      <c r="G149" s="3">
        <v>109796000</v>
      </c>
      <c r="H149" t="s">
        <v>444</v>
      </c>
      <c r="I149" s="3">
        <v>2025</v>
      </c>
      <c r="J149" t="s">
        <v>399</v>
      </c>
      <c r="K149" t="s">
        <v>400</v>
      </c>
      <c r="L149" t="s">
        <v>250</v>
      </c>
      <c r="M149" t="s">
        <v>455</v>
      </c>
    </row>
    <row r="150" spans="1:13">
      <c r="A150" t="s">
        <v>34</v>
      </c>
      <c r="B150" t="s">
        <v>404</v>
      </c>
      <c r="C150" t="s">
        <v>396</v>
      </c>
      <c r="D150" t="s">
        <v>397</v>
      </c>
      <c r="E150" t="s">
        <v>101</v>
      </c>
      <c r="F150" t="s">
        <v>102</v>
      </c>
      <c r="G150" s="3">
        <v>74823000</v>
      </c>
      <c r="H150" t="s">
        <v>444</v>
      </c>
      <c r="I150" s="3">
        <v>2025</v>
      </c>
      <c r="J150" t="s">
        <v>399</v>
      </c>
      <c r="K150" t="s">
        <v>400</v>
      </c>
      <c r="L150" t="s">
        <v>250</v>
      </c>
      <c r="M150" t="s">
        <v>455</v>
      </c>
    </row>
    <row r="151" spans="1:13">
      <c r="A151" t="s">
        <v>35</v>
      </c>
      <c r="B151" t="s">
        <v>405</v>
      </c>
      <c r="C151" t="s">
        <v>396</v>
      </c>
      <c r="D151" t="s">
        <v>397</v>
      </c>
      <c r="E151" t="s">
        <v>101</v>
      </c>
      <c r="F151" t="s">
        <v>102</v>
      </c>
      <c r="G151" s="3">
        <v>6718000</v>
      </c>
      <c r="H151" t="s">
        <v>444</v>
      </c>
      <c r="I151" s="3">
        <v>2025</v>
      </c>
      <c r="J151" t="s">
        <v>399</v>
      </c>
      <c r="K151" t="s">
        <v>400</v>
      </c>
      <c r="L151" t="s">
        <v>250</v>
      </c>
      <c r="M151" t="s">
        <v>455</v>
      </c>
    </row>
    <row r="152" spans="1:13">
      <c r="A152" t="s">
        <v>36</v>
      </c>
      <c r="B152" t="s">
        <v>442</v>
      </c>
      <c r="C152" t="s">
        <v>396</v>
      </c>
      <c r="D152" t="s">
        <v>397</v>
      </c>
      <c r="E152" t="s">
        <v>101</v>
      </c>
      <c r="F152" t="s">
        <v>102</v>
      </c>
      <c r="G152" s="3">
        <v>30692000</v>
      </c>
      <c r="H152" t="s">
        <v>444</v>
      </c>
      <c r="I152" s="3">
        <v>2025</v>
      </c>
      <c r="J152" t="s">
        <v>399</v>
      </c>
      <c r="K152" t="s">
        <v>400</v>
      </c>
      <c r="L152" t="s">
        <v>250</v>
      </c>
      <c r="M152" t="s">
        <v>455</v>
      </c>
    </row>
    <row r="153" spans="1:13">
      <c r="A153" t="s">
        <v>37</v>
      </c>
      <c r="B153" t="s">
        <v>407</v>
      </c>
      <c r="C153" t="s">
        <v>396</v>
      </c>
      <c r="D153" t="s">
        <v>397</v>
      </c>
      <c r="E153" t="s">
        <v>101</v>
      </c>
      <c r="F153" t="s">
        <v>102</v>
      </c>
      <c r="G153" s="3">
        <v>103243000</v>
      </c>
      <c r="H153" t="s">
        <v>444</v>
      </c>
      <c r="I153" s="3">
        <v>2025</v>
      </c>
      <c r="J153" t="s">
        <v>399</v>
      </c>
      <c r="K153" t="s">
        <v>400</v>
      </c>
      <c r="L153" t="s">
        <v>250</v>
      </c>
      <c r="M153" t="s">
        <v>455</v>
      </c>
    </row>
    <row r="154" spans="1:13">
      <c r="A154" t="s">
        <v>38</v>
      </c>
      <c r="B154" t="s">
        <v>447</v>
      </c>
      <c r="C154" t="s">
        <v>396</v>
      </c>
      <c r="D154" t="s">
        <v>397</v>
      </c>
      <c r="E154" t="s">
        <v>101</v>
      </c>
      <c r="F154" t="s">
        <v>102</v>
      </c>
      <c r="G154" s="3">
        <v>53279000</v>
      </c>
      <c r="H154" t="s">
        <v>444</v>
      </c>
      <c r="I154" s="3">
        <v>2025</v>
      </c>
      <c r="J154" t="s">
        <v>399</v>
      </c>
      <c r="K154" t="s">
        <v>400</v>
      </c>
      <c r="L154" t="s">
        <v>250</v>
      </c>
      <c r="M154" t="s">
        <v>455</v>
      </c>
    </row>
    <row r="155" spans="1:13">
      <c r="A155" t="s">
        <v>39</v>
      </c>
      <c r="B155" t="s">
        <v>406</v>
      </c>
      <c r="C155" t="s">
        <v>105</v>
      </c>
      <c r="D155" t="s">
        <v>397</v>
      </c>
      <c r="E155" t="s">
        <v>101</v>
      </c>
      <c r="F155" t="s">
        <v>102</v>
      </c>
      <c r="G155" t="s">
        <v>105</v>
      </c>
      <c r="H155" t="s">
        <v>105</v>
      </c>
      <c r="I155" t="s">
        <v>105</v>
      </c>
      <c r="J155" t="s">
        <v>105</v>
      </c>
      <c r="K155" t="s">
        <v>105</v>
      </c>
      <c r="L155" t="s">
        <v>105</v>
      </c>
      <c r="M155" t="s">
        <v>105</v>
      </c>
    </row>
    <row r="156" spans="1:13">
      <c r="A156" t="s">
        <v>40</v>
      </c>
      <c r="B156" t="s">
        <v>409</v>
      </c>
      <c r="C156" t="s">
        <v>396</v>
      </c>
      <c r="D156" t="s">
        <v>397</v>
      </c>
      <c r="E156" t="s">
        <v>101</v>
      </c>
      <c r="F156" t="s">
        <v>102</v>
      </c>
      <c r="G156" s="3">
        <v>69074000</v>
      </c>
      <c r="H156" t="s">
        <v>444</v>
      </c>
      <c r="I156" s="3">
        <v>2025</v>
      </c>
      <c r="J156" t="s">
        <v>399</v>
      </c>
      <c r="K156" t="s">
        <v>400</v>
      </c>
      <c r="L156" t="s">
        <v>250</v>
      </c>
      <c r="M156" t="s">
        <v>455</v>
      </c>
    </row>
    <row r="157" spans="1:13">
      <c r="A157" t="s">
        <v>41</v>
      </c>
      <c r="B157" t="s">
        <v>410</v>
      </c>
      <c r="C157" t="s">
        <v>396</v>
      </c>
      <c r="D157" t="s">
        <v>397</v>
      </c>
      <c r="E157" t="s">
        <v>101</v>
      </c>
      <c r="F157" t="s">
        <v>102</v>
      </c>
      <c r="G157" s="3">
        <v>11013000</v>
      </c>
      <c r="H157" t="s">
        <v>444</v>
      </c>
      <c r="I157" s="3">
        <v>2025</v>
      </c>
      <c r="J157" t="s">
        <v>399</v>
      </c>
      <c r="K157" t="s">
        <v>400</v>
      </c>
      <c r="L157" t="s">
        <v>250</v>
      </c>
      <c r="M157" t="s">
        <v>455</v>
      </c>
    </row>
    <row r="158" spans="1:13">
      <c r="A158" t="s">
        <v>42</v>
      </c>
      <c r="B158" t="s">
        <v>411</v>
      </c>
      <c r="C158" t="s">
        <v>396</v>
      </c>
      <c r="D158" t="s">
        <v>397</v>
      </c>
      <c r="E158" t="s">
        <v>101</v>
      </c>
      <c r="F158" t="s">
        <v>102</v>
      </c>
      <c r="G158" s="3">
        <v>10925000</v>
      </c>
      <c r="H158" t="s">
        <v>444</v>
      </c>
      <c r="I158" s="3">
        <v>2025</v>
      </c>
      <c r="J158" t="s">
        <v>399</v>
      </c>
      <c r="K158" t="s">
        <v>400</v>
      </c>
      <c r="L158" t="s">
        <v>250</v>
      </c>
      <c r="M158" t="s">
        <v>455</v>
      </c>
    </row>
    <row r="159" spans="1:13">
      <c r="A159" t="s">
        <v>43</v>
      </c>
      <c r="B159" t="s">
        <v>412</v>
      </c>
      <c r="C159" t="s">
        <v>396</v>
      </c>
      <c r="D159" t="s">
        <v>397</v>
      </c>
      <c r="E159" t="s">
        <v>101</v>
      </c>
      <c r="F159" t="s">
        <v>102</v>
      </c>
      <c r="G159" s="3">
        <v>25941000</v>
      </c>
      <c r="H159" t="s">
        <v>444</v>
      </c>
      <c r="I159" s="3">
        <v>2025</v>
      </c>
      <c r="J159" t="s">
        <v>399</v>
      </c>
      <c r="K159" t="s">
        <v>400</v>
      </c>
      <c r="L159" t="s">
        <v>250</v>
      </c>
      <c r="M159" t="s">
        <v>455</v>
      </c>
    </row>
    <row r="160" spans="1:13">
      <c r="A160" t="s">
        <v>44</v>
      </c>
      <c r="B160" t="s">
        <v>413</v>
      </c>
      <c r="C160" t="s">
        <v>396</v>
      </c>
      <c r="D160" t="s">
        <v>397</v>
      </c>
      <c r="E160" t="s">
        <v>101</v>
      </c>
      <c r="F160" t="s">
        <v>102</v>
      </c>
      <c r="G160" s="3">
        <v>11510000</v>
      </c>
      <c r="H160" t="s">
        <v>444</v>
      </c>
      <c r="I160" s="3">
        <v>2025</v>
      </c>
      <c r="J160" t="s">
        <v>399</v>
      </c>
      <c r="K160" t="s">
        <v>400</v>
      </c>
      <c r="L160" t="s">
        <v>250</v>
      </c>
      <c r="M160" t="s">
        <v>455</v>
      </c>
    </row>
    <row r="161" spans="1:13">
      <c r="A161" t="s">
        <v>45</v>
      </c>
      <c r="B161" t="s">
        <v>414</v>
      </c>
      <c r="C161" t="s">
        <v>396</v>
      </c>
      <c r="D161" t="s">
        <v>397</v>
      </c>
      <c r="E161" t="s">
        <v>101</v>
      </c>
      <c r="F161" t="s">
        <v>102</v>
      </c>
      <c r="G161" s="3">
        <v>7843000</v>
      </c>
      <c r="H161" t="s">
        <v>444</v>
      </c>
      <c r="I161" s="3">
        <v>2025</v>
      </c>
      <c r="J161" t="s">
        <v>399</v>
      </c>
      <c r="K161" t="s">
        <v>400</v>
      </c>
      <c r="L161" t="s">
        <v>250</v>
      </c>
      <c r="M161" t="s">
        <v>455</v>
      </c>
    </row>
    <row r="162" spans="1:13">
      <c r="A162" t="s">
        <v>46</v>
      </c>
      <c r="B162" t="s">
        <v>416</v>
      </c>
      <c r="C162" t="s">
        <v>396</v>
      </c>
      <c r="D162" t="s">
        <v>183</v>
      </c>
      <c r="E162" t="s">
        <v>101</v>
      </c>
      <c r="F162" t="s">
        <v>102</v>
      </c>
      <c r="G162" s="3">
        <v>20912000</v>
      </c>
      <c r="H162" t="s">
        <v>444</v>
      </c>
      <c r="I162" s="3">
        <v>2025</v>
      </c>
      <c r="J162" t="s">
        <v>399</v>
      </c>
      <c r="K162" t="s">
        <v>400</v>
      </c>
      <c r="L162" t="s">
        <v>250</v>
      </c>
      <c r="M162" t="s">
        <v>455</v>
      </c>
    </row>
    <row r="163" spans="1:13">
      <c r="A163" t="s">
        <v>47</v>
      </c>
      <c r="B163" t="s">
        <v>417</v>
      </c>
      <c r="C163" t="s">
        <v>396</v>
      </c>
      <c r="D163" t="s">
        <v>183</v>
      </c>
      <c r="E163" t="s">
        <v>101</v>
      </c>
      <c r="F163" t="s">
        <v>102</v>
      </c>
      <c r="G163" s="3">
        <v>20755000</v>
      </c>
      <c r="H163" t="s">
        <v>444</v>
      </c>
      <c r="I163" s="3">
        <v>2025</v>
      </c>
      <c r="J163" t="s">
        <v>399</v>
      </c>
      <c r="K163" t="s">
        <v>400</v>
      </c>
      <c r="L163" t="s">
        <v>250</v>
      </c>
      <c r="M163" t="s">
        <v>455</v>
      </c>
    </row>
    <row r="164" spans="1:13">
      <c r="A164" t="s">
        <v>48</v>
      </c>
      <c r="B164" t="s">
        <v>418</v>
      </c>
      <c r="C164" t="s">
        <v>396</v>
      </c>
      <c r="D164" t="s">
        <v>419</v>
      </c>
      <c r="E164" t="s">
        <v>101</v>
      </c>
      <c r="F164" t="s">
        <v>102</v>
      </c>
      <c r="G164" s="3">
        <v>3.58</v>
      </c>
      <c r="H164" t="s">
        <v>444</v>
      </c>
      <c r="I164" s="3">
        <v>2025</v>
      </c>
      <c r="J164" t="s">
        <v>399</v>
      </c>
      <c r="K164" t="s">
        <v>400</v>
      </c>
      <c r="L164" t="s">
        <v>250</v>
      </c>
      <c r="M164" t="s">
        <v>455</v>
      </c>
    </row>
    <row r="165" spans="1:13">
      <c r="A165" t="s">
        <v>49</v>
      </c>
      <c r="B165" t="s">
        <v>420</v>
      </c>
      <c r="C165" t="s">
        <v>396</v>
      </c>
      <c r="D165" t="s">
        <v>397</v>
      </c>
      <c r="E165" t="s">
        <v>105</v>
      </c>
      <c r="F165" t="s">
        <v>102</v>
      </c>
      <c r="G165" s="3">
        <v>13681000</v>
      </c>
      <c r="H165" t="s">
        <v>452</v>
      </c>
      <c r="I165" s="3">
        <v>2026</v>
      </c>
      <c r="J165" t="s">
        <v>453</v>
      </c>
      <c r="K165" t="s">
        <v>454</v>
      </c>
      <c r="L165" t="s">
        <v>260</v>
      </c>
      <c r="M165" t="s">
        <v>456</v>
      </c>
    </row>
    <row r="166" spans="1:13">
      <c r="A166" t="s">
        <v>50</v>
      </c>
      <c r="B166" t="s">
        <v>422</v>
      </c>
      <c r="C166" t="s">
        <v>396</v>
      </c>
      <c r="D166" t="s">
        <v>397</v>
      </c>
      <c r="E166" t="s">
        <v>105</v>
      </c>
      <c r="F166" t="s">
        <v>102</v>
      </c>
      <c r="G166" s="3">
        <v>1802801000</v>
      </c>
      <c r="H166" t="s">
        <v>452</v>
      </c>
      <c r="I166" s="3">
        <v>2026</v>
      </c>
      <c r="J166" t="s">
        <v>453</v>
      </c>
      <c r="K166" t="s">
        <v>454</v>
      </c>
      <c r="L166" t="s">
        <v>260</v>
      </c>
      <c r="M166" t="s">
        <v>456</v>
      </c>
    </row>
    <row r="167" spans="1:13">
      <c r="A167" t="s">
        <v>51</v>
      </c>
      <c r="B167" t="s">
        <v>423</v>
      </c>
      <c r="C167" t="s">
        <v>396</v>
      </c>
      <c r="D167" t="s">
        <v>397</v>
      </c>
      <c r="E167" t="s">
        <v>105</v>
      </c>
      <c r="F167" t="s">
        <v>102</v>
      </c>
      <c r="G167" s="3">
        <v>789520000</v>
      </c>
      <c r="H167" t="s">
        <v>452</v>
      </c>
      <c r="I167" s="3">
        <v>2026</v>
      </c>
      <c r="J167" t="s">
        <v>453</v>
      </c>
      <c r="K167" t="s">
        <v>454</v>
      </c>
      <c r="L167" t="s">
        <v>260</v>
      </c>
      <c r="M167" t="s">
        <v>456</v>
      </c>
    </row>
    <row r="168" spans="1:13">
      <c r="A168" t="s">
        <v>52</v>
      </c>
      <c r="B168" t="s">
        <v>406</v>
      </c>
      <c r="C168" t="s">
        <v>105</v>
      </c>
      <c r="D168" t="s">
        <v>397</v>
      </c>
      <c r="E168" t="s">
        <v>105</v>
      </c>
      <c r="F168" t="s">
        <v>102</v>
      </c>
      <c r="G168" t="s">
        <v>105</v>
      </c>
      <c r="H168" t="s">
        <v>105</v>
      </c>
      <c r="I168" t="s">
        <v>105</v>
      </c>
      <c r="J168" t="s">
        <v>105</v>
      </c>
      <c r="K168" t="s">
        <v>105</v>
      </c>
      <c r="L168" t="s">
        <v>105</v>
      </c>
      <c r="M168" t="s">
        <v>105</v>
      </c>
    </row>
    <row r="169" spans="1:13">
      <c r="A169" t="s">
        <v>53</v>
      </c>
      <c r="B169" t="s">
        <v>424</v>
      </c>
      <c r="C169" t="s">
        <v>396</v>
      </c>
      <c r="D169" t="s">
        <v>397</v>
      </c>
      <c r="E169" t="s">
        <v>105</v>
      </c>
      <c r="F169" t="s">
        <v>102</v>
      </c>
      <c r="G169" s="3">
        <v>253583000</v>
      </c>
      <c r="H169" t="s">
        <v>452</v>
      </c>
      <c r="I169" s="3">
        <v>2026</v>
      </c>
      <c r="J169" t="s">
        <v>453</v>
      </c>
      <c r="K169" t="s">
        <v>454</v>
      </c>
      <c r="L169" t="s">
        <v>260</v>
      </c>
      <c r="M169" t="s">
        <v>456</v>
      </c>
    </row>
    <row r="170" spans="1:13">
      <c r="A170" t="s">
        <v>54</v>
      </c>
      <c r="B170" t="s">
        <v>425</v>
      </c>
      <c r="C170" t="s">
        <v>396</v>
      </c>
      <c r="D170" t="s">
        <v>397</v>
      </c>
      <c r="E170" t="s">
        <v>105</v>
      </c>
      <c r="F170" t="s">
        <v>102</v>
      </c>
      <c r="G170" s="3">
        <v>943277000</v>
      </c>
      <c r="H170" t="s">
        <v>452</v>
      </c>
      <c r="I170" s="3">
        <v>2026</v>
      </c>
      <c r="J170" t="s">
        <v>453</v>
      </c>
      <c r="K170" t="s">
        <v>454</v>
      </c>
      <c r="L170" t="s">
        <v>260</v>
      </c>
      <c r="M170" t="s">
        <v>456</v>
      </c>
    </row>
    <row r="171" spans="1:13">
      <c r="A171" t="s">
        <v>55</v>
      </c>
      <c r="B171" t="s">
        <v>428</v>
      </c>
      <c r="C171" t="s">
        <v>396</v>
      </c>
      <c r="D171" t="s">
        <v>397</v>
      </c>
      <c r="E171" t="s">
        <v>105</v>
      </c>
      <c r="F171" t="s">
        <v>102</v>
      </c>
      <c r="G171" s="3">
        <v>22445000</v>
      </c>
      <c r="H171" t="s">
        <v>452</v>
      </c>
      <c r="I171" s="3">
        <v>2026</v>
      </c>
      <c r="J171" t="s">
        <v>453</v>
      </c>
      <c r="K171" t="s">
        <v>454</v>
      </c>
      <c r="L171" t="s">
        <v>260</v>
      </c>
      <c r="M171" t="s">
        <v>456</v>
      </c>
    </row>
    <row r="172" spans="1:13">
      <c r="A172" t="s">
        <v>56</v>
      </c>
      <c r="B172" t="s">
        <v>429</v>
      </c>
      <c r="C172" t="s">
        <v>396</v>
      </c>
      <c r="D172" t="s">
        <v>397</v>
      </c>
      <c r="E172" t="s">
        <v>105</v>
      </c>
      <c r="F172" t="s">
        <v>102</v>
      </c>
      <c r="G172" s="3">
        <v>436348000</v>
      </c>
      <c r="H172" t="s">
        <v>452</v>
      </c>
      <c r="I172" s="3">
        <v>2026</v>
      </c>
      <c r="J172" t="s">
        <v>453</v>
      </c>
      <c r="K172" t="s">
        <v>454</v>
      </c>
      <c r="L172" t="s">
        <v>260</v>
      </c>
      <c r="M172" t="s">
        <v>456</v>
      </c>
    </row>
    <row r="173" spans="1:13">
      <c r="A173" t="s">
        <v>57</v>
      </c>
      <c r="B173" t="s">
        <v>430</v>
      </c>
      <c r="C173" t="s">
        <v>396</v>
      </c>
      <c r="D173" t="s">
        <v>397</v>
      </c>
      <c r="E173" t="s">
        <v>105</v>
      </c>
      <c r="F173" t="s">
        <v>102</v>
      </c>
      <c r="G173" s="3">
        <v>460642000</v>
      </c>
      <c r="H173" t="s">
        <v>452</v>
      </c>
      <c r="I173" s="3">
        <v>2026</v>
      </c>
      <c r="J173" t="s">
        <v>453</v>
      </c>
      <c r="K173" t="s">
        <v>454</v>
      </c>
      <c r="L173" t="s">
        <v>260</v>
      </c>
      <c r="M173" t="s">
        <v>456</v>
      </c>
    </row>
    <row r="174" spans="1:13">
      <c r="A174" t="s">
        <v>58</v>
      </c>
      <c r="B174" t="s">
        <v>431</v>
      </c>
      <c r="C174" t="s">
        <v>396</v>
      </c>
      <c r="D174" t="s">
        <v>397</v>
      </c>
      <c r="E174" t="s">
        <v>105</v>
      </c>
      <c r="F174" t="s">
        <v>102</v>
      </c>
      <c r="G174" s="3">
        <v>280657000</v>
      </c>
      <c r="H174" t="s">
        <v>452</v>
      </c>
      <c r="I174" s="3">
        <v>2026</v>
      </c>
      <c r="J174" t="s">
        <v>453</v>
      </c>
      <c r="K174" t="s">
        <v>454</v>
      </c>
      <c r="L174" t="s">
        <v>260</v>
      </c>
      <c r="M174" t="s">
        <v>456</v>
      </c>
    </row>
    <row r="175" spans="1:13">
      <c r="A175" t="s">
        <v>59</v>
      </c>
      <c r="B175" t="s">
        <v>449</v>
      </c>
      <c r="C175" t="s">
        <v>396</v>
      </c>
      <c r="D175" t="s">
        <v>397</v>
      </c>
      <c r="E175" t="s">
        <v>105</v>
      </c>
      <c r="F175" t="s">
        <v>102</v>
      </c>
      <c r="G175" s="3">
        <v>105874000</v>
      </c>
      <c r="H175" t="s">
        <v>452</v>
      </c>
      <c r="I175" s="3">
        <v>2026</v>
      </c>
      <c r="J175" t="s">
        <v>453</v>
      </c>
      <c r="K175" t="s">
        <v>454</v>
      </c>
      <c r="L175" t="s">
        <v>260</v>
      </c>
      <c r="M175" t="s">
        <v>456</v>
      </c>
    </row>
    <row r="176" spans="1:13">
      <c r="A176" t="s">
        <v>60</v>
      </c>
      <c r="B176" t="s">
        <v>433</v>
      </c>
      <c r="C176" t="s">
        <v>396</v>
      </c>
      <c r="D176" t="s">
        <v>397</v>
      </c>
      <c r="E176" t="s">
        <v>105</v>
      </c>
      <c r="F176" t="s">
        <v>102</v>
      </c>
      <c r="G176" s="3">
        <v>222916000</v>
      </c>
      <c r="H176" t="s">
        <v>452</v>
      </c>
      <c r="I176" s="3">
        <v>2026</v>
      </c>
      <c r="J176" t="s">
        <v>453</v>
      </c>
      <c r="K176" t="s">
        <v>454</v>
      </c>
      <c r="L176" t="s">
        <v>260</v>
      </c>
      <c r="M176" t="s">
        <v>456</v>
      </c>
    </row>
    <row r="177" spans="1:13">
      <c r="A177" t="s">
        <v>61</v>
      </c>
      <c r="B177" t="s">
        <v>434</v>
      </c>
      <c r="C177" t="s">
        <v>396</v>
      </c>
      <c r="D177" t="s">
        <v>397</v>
      </c>
      <c r="E177" t="s">
        <v>105</v>
      </c>
      <c r="F177" t="s">
        <v>102</v>
      </c>
      <c r="G177" s="3">
        <v>461231000</v>
      </c>
      <c r="H177" t="s">
        <v>452</v>
      </c>
      <c r="I177" s="3">
        <v>2026</v>
      </c>
      <c r="J177" t="s">
        <v>453</v>
      </c>
      <c r="K177" t="s">
        <v>454</v>
      </c>
      <c r="L177" t="s">
        <v>260</v>
      </c>
      <c r="M177" t="s">
        <v>456</v>
      </c>
    </row>
    <row r="178" spans="1:13">
      <c r="A178" t="s">
        <v>62</v>
      </c>
      <c r="B178" t="s">
        <v>435</v>
      </c>
      <c r="C178" t="s">
        <v>396</v>
      </c>
      <c r="D178" t="s">
        <v>397</v>
      </c>
      <c r="E178" t="s">
        <v>105</v>
      </c>
      <c r="F178" t="s">
        <v>102</v>
      </c>
      <c r="G178" s="3">
        <v>148642000</v>
      </c>
      <c r="H178" t="s">
        <v>452</v>
      </c>
      <c r="I178" s="3">
        <v>2026</v>
      </c>
      <c r="J178" t="s">
        <v>453</v>
      </c>
      <c r="K178" t="s">
        <v>454</v>
      </c>
      <c r="L178" t="s">
        <v>260</v>
      </c>
      <c r="M178" t="s">
        <v>456</v>
      </c>
    </row>
    <row r="179" spans="1:13">
      <c r="A179" t="s">
        <v>63</v>
      </c>
      <c r="B179" t="s">
        <v>436</v>
      </c>
      <c r="C179" t="s">
        <v>396</v>
      </c>
      <c r="D179" t="s">
        <v>183</v>
      </c>
      <c r="E179" t="s">
        <v>105</v>
      </c>
      <c r="F179" t="s">
        <v>102</v>
      </c>
      <c r="G179" s="3">
        <v>27148000</v>
      </c>
      <c r="H179" t="s">
        <v>452</v>
      </c>
      <c r="I179" s="3">
        <v>2026</v>
      </c>
      <c r="J179" t="s">
        <v>453</v>
      </c>
      <c r="K179" t="s">
        <v>454</v>
      </c>
      <c r="L179" t="s">
        <v>260</v>
      </c>
      <c r="M179" t="s">
        <v>456</v>
      </c>
    </row>
    <row r="180" spans="1:13">
      <c r="A180" t="s">
        <v>64</v>
      </c>
      <c r="B180" t="s">
        <v>445</v>
      </c>
      <c r="C180" t="s">
        <v>396</v>
      </c>
      <c r="D180" t="s">
        <v>183</v>
      </c>
      <c r="E180" t="s">
        <v>105</v>
      </c>
      <c r="F180" t="s">
        <v>102</v>
      </c>
      <c r="G180" s="3">
        <v>6413000</v>
      </c>
      <c r="H180" t="s">
        <v>444</v>
      </c>
      <c r="I180" s="3">
        <v>2025</v>
      </c>
      <c r="J180" t="s">
        <v>399</v>
      </c>
      <c r="K180" t="s">
        <v>400</v>
      </c>
      <c r="L180" t="s">
        <v>250</v>
      </c>
      <c r="M180" t="s">
        <v>456</v>
      </c>
    </row>
    <row r="181" spans="1:13">
      <c r="A181" t="s">
        <v>65</v>
      </c>
      <c r="B181" t="s">
        <v>438</v>
      </c>
      <c r="C181" t="s">
        <v>396</v>
      </c>
      <c r="D181" t="s">
        <v>397</v>
      </c>
      <c r="E181" t="s">
        <v>105</v>
      </c>
      <c r="F181" t="s">
        <v>102</v>
      </c>
      <c r="G181" s="3">
        <v>622000</v>
      </c>
      <c r="H181" t="s">
        <v>444</v>
      </c>
      <c r="I181" s="3">
        <v>2025</v>
      </c>
      <c r="J181" t="s">
        <v>399</v>
      </c>
      <c r="K181" t="s">
        <v>400</v>
      </c>
      <c r="L181" t="s">
        <v>250</v>
      </c>
      <c r="M181" t="s">
        <v>456</v>
      </c>
    </row>
    <row r="182" spans="1:13">
      <c r="A182" t="s">
        <v>66</v>
      </c>
      <c r="B182" t="s">
        <v>439</v>
      </c>
      <c r="C182" t="s">
        <v>396</v>
      </c>
      <c r="D182" t="s">
        <v>397</v>
      </c>
      <c r="E182" t="s">
        <v>105</v>
      </c>
      <c r="F182" t="s">
        <v>102</v>
      </c>
      <c r="G182" s="3">
        <v>13384000</v>
      </c>
      <c r="H182" t="s">
        <v>452</v>
      </c>
      <c r="I182" s="3">
        <v>2026</v>
      </c>
      <c r="J182" t="s">
        <v>453</v>
      </c>
      <c r="K182" t="s">
        <v>454</v>
      </c>
      <c r="L182" t="s">
        <v>260</v>
      </c>
      <c r="M182" t="s">
        <v>456</v>
      </c>
    </row>
    <row r="183" spans="1:13">
      <c r="A183" t="s">
        <v>31</v>
      </c>
      <c r="B183" t="s">
        <v>395</v>
      </c>
      <c r="C183" t="s">
        <v>396</v>
      </c>
      <c r="D183" t="s">
        <v>397</v>
      </c>
      <c r="E183" t="s">
        <v>101</v>
      </c>
      <c r="F183" t="s">
        <v>104</v>
      </c>
      <c r="G183" s="3">
        <v>851988000</v>
      </c>
      <c r="H183" t="s">
        <v>452</v>
      </c>
      <c r="I183" s="3">
        <v>2026</v>
      </c>
      <c r="J183" t="s">
        <v>453</v>
      </c>
      <c r="K183" t="s">
        <v>454</v>
      </c>
      <c r="L183" t="s">
        <v>260</v>
      </c>
      <c r="M183" t="s">
        <v>105</v>
      </c>
    </row>
    <row r="184" spans="1:13">
      <c r="A184" t="s">
        <v>32</v>
      </c>
      <c r="B184" t="s">
        <v>402</v>
      </c>
      <c r="C184" t="s">
        <v>396</v>
      </c>
      <c r="D184" t="s">
        <v>397</v>
      </c>
      <c r="E184" t="s">
        <v>101</v>
      </c>
      <c r="F184" t="s">
        <v>104</v>
      </c>
      <c r="G184" s="3">
        <v>158837000</v>
      </c>
      <c r="H184" t="s">
        <v>452</v>
      </c>
      <c r="I184" s="3">
        <v>2026</v>
      </c>
      <c r="J184" t="s">
        <v>453</v>
      </c>
      <c r="K184" t="s">
        <v>454</v>
      </c>
      <c r="L184" t="s">
        <v>260</v>
      </c>
      <c r="M184" t="s">
        <v>105</v>
      </c>
    </row>
    <row r="185" spans="1:13">
      <c r="A185" t="s">
        <v>33</v>
      </c>
      <c r="B185" t="s">
        <v>403</v>
      </c>
      <c r="C185" t="s">
        <v>396</v>
      </c>
      <c r="D185" t="s">
        <v>397</v>
      </c>
      <c r="E185" t="s">
        <v>101</v>
      </c>
      <c r="F185" t="s">
        <v>104</v>
      </c>
      <c r="G185" s="3">
        <v>64014000</v>
      </c>
      <c r="H185" t="s">
        <v>452</v>
      </c>
      <c r="I185" s="3">
        <v>2026</v>
      </c>
      <c r="J185" t="s">
        <v>453</v>
      </c>
      <c r="K185" t="s">
        <v>454</v>
      </c>
      <c r="L185" t="s">
        <v>260</v>
      </c>
      <c r="M185" t="s">
        <v>105</v>
      </c>
    </row>
    <row r="186" spans="1:13">
      <c r="A186" t="s">
        <v>34</v>
      </c>
      <c r="B186" t="s">
        <v>404</v>
      </c>
      <c r="C186" t="s">
        <v>396</v>
      </c>
      <c r="D186" t="s">
        <v>397</v>
      </c>
      <c r="E186" t="s">
        <v>101</v>
      </c>
      <c r="F186" t="s">
        <v>104</v>
      </c>
      <c r="G186" s="3">
        <v>42838000</v>
      </c>
      <c r="H186" t="s">
        <v>452</v>
      </c>
      <c r="I186" s="3">
        <v>2026</v>
      </c>
      <c r="J186" t="s">
        <v>453</v>
      </c>
      <c r="K186" t="s">
        <v>454</v>
      </c>
      <c r="L186" t="s">
        <v>260</v>
      </c>
      <c r="M186" t="s">
        <v>105</v>
      </c>
    </row>
    <row r="187" spans="1:13">
      <c r="A187" t="s">
        <v>35</v>
      </c>
      <c r="B187" t="s">
        <v>405</v>
      </c>
      <c r="C187" t="s">
        <v>396</v>
      </c>
      <c r="D187" t="s">
        <v>397</v>
      </c>
      <c r="E187" t="s">
        <v>101</v>
      </c>
      <c r="F187" t="s">
        <v>104</v>
      </c>
      <c r="G187" s="3">
        <v>7262000</v>
      </c>
      <c r="H187" t="s">
        <v>452</v>
      </c>
      <c r="I187" s="3">
        <v>2026</v>
      </c>
      <c r="J187" t="s">
        <v>453</v>
      </c>
      <c r="K187" t="s">
        <v>454</v>
      </c>
      <c r="L187" t="s">
        <v>260</v>
      </c>
      <c r="M187" t="s">
        <v>105</v>
      </c>
    </row>
    <row r="188" spans="1:13">
      <c r="A188" t="s">
        <v>36</v>
      </c>
      <c r="B188" t="s">
        <v>442</v>
      </c>
      <c r="C188" t="s">
        <v>396</v>
      </c>
      <c r="D188" t="s">
        <v>397</v>
      </c>
      <c r="E188" t="s">
        <v>101</v>
      </c>
      <c r="F188" t="s">
        <v>104</v>
      </c>
      <c r="G188" s="3">
        <v>15147000</v>
      </c>
      <c r="H188" t="s">
        <v>452</v>
      </c>
      <c r="I188" s="3">
        <v>2026</v>
      </c>
      <c r="J188" t="s">
        <v>453</v>
      </c>
      <c r="K188" t="s">
        <v>454</v>
      </c>
      <c r="L188" t="s">
        <v>260</v>
      </c>
      <c r="M188" t="s">
        <v>105</v>
      </c>
    </row>
    <row r="189" spans="1:13">
      <c r="A189" t="s">
        <v>37</v>
      </c>
      <c r="B189" t="s">
        <v>407</v>
      </c>
      <c r="C189" t="s">
        <v>396</v>
      </c>
      <c r="D189" t="s">
        <v>397</v>
      </c>
      <c r="E189" t="s">
        <v>101</v>
      </c>
      <c r="F189" t="s">
        <v>104</v>
      </c>
      <c r="G189" s="3">
        <v>65442000</v>
      </c>
      <c r="H189" t="s">
        <v>452</v>
      </c>
      <c r="I189" s="3">
        <v>2026</v>
      </c>
      <c r="J189" t="s">
        <v>453</v>
      </c>
      <c r="K189" t="s">
        <v>454</v>
      </c>
      <c r="L189" t="s">
        <v>260</v>
      </c>
      <c r="M189" t="s">
        <v>105</v>
      </c>
    </row>
    <row r="190" spans="1:13">
      <c r="A190" t="s">
        <v>38</v>
      </c>
      <c r="B190" t="s">
        <v>447</v>
      </c>
      <c r="C190" t="s">
        <v>396</v>
      </c>
      <c r="D190" t="s">
        <v>397</v>
      </c>
      <c r="E190" t="s">
        <v>101</v>
      </c>
      <c r="F190" t="s">
        <v>104</v>
      </c>
      <c r="G190" s="3">
        <v>25003000</v>
      </c>
      <c r="H190" t="s">
        <v>452</v>
      </c>
      <c r="I190" s="3">
        <v>2026</v>
      </c>
      <c r="J190" t="s">
        <v>453</v>
      </c>
      <c r="K190" t="s">
        <v>454</v>
      </c>
      <c r="L190" t="s">
        <v>260</v>
      </c>
      <c r="M190" t="s">
        <v>105</v>
      </c>
    </row>
    <row r="191" spans="1:13">
      <c r="A191" t="s">
        <v>39</v>
      </c>
      <c r="B191" t="s">
        <v>457</v>
      </c>
      <c r="C191" t="s">
        <v>396</v>
      </c>
      <c r="D191" t="s">
        <v>397</v>
      </c>
      <c r="E191" t="s">
        <v>101</v>
      </c>
      <c r="F191" t="s">
        <v>104</v>
      </c>
      <c r="G191" s="3">
        <v>10175000</v>
      </c>
      <c r="H191" t="s">
        <v>452</v>
      </c>
      <c r="I191" s="3">
        <v>2026</v>
      </c>
      <c r="J191" t="s">
        <v>453</v>
      </c>
      <c r="K191" t="s">
        <v>454</v>
      </c>
      <c r="L191" t="s">
        <v>260</v>
      </c>
      <c r="M191" t="s">
        <v>105</v>
      </c>
    </row>
    <row r="192" spans="1:13">
      <c r="A192" t="s">
        <v>40</v>
      </c>
      <c r="B192" t="s">
        <v>409</v>
      </c>
      <c r="C192" t="s">
        <v>396</v>
      </c>
      <c r="D192" t="s">
        <v>397</v>
      </c>
      <c r="E192" t="s">
        <v>101</v>
      </c>
      <c r="F192" t="s">
        <v>104</v>
      </c>
      <c r="G192" s="3">
        <v>34047000</v>
      </c>
      <c r="H192" t="s">
        <v>452</v>
      </c>
      <c r="I192" s="3">
        <v>2026</v>
      </c>
      <c r="J192" t="s">
        <v>453</v>
      </c>
      <c r="K192" t="s">
        <v>454</v>
      </c>
      <c r="L192" t="s">
        <v>260</v>
      </c>
      <c r="M192" t="s">
        <v>105</v>
      </c>
    </row>
    <row r="193" spans="1:13">
      <c r="A193" t="s">
        <v>41</v>
      </c>
      <c r="B193" t="s">
        <v>410</v>
      </c>
      <c r="C193" t="s">
        <v>396</v>
      </c>
      <c r="D193" t="s">
        <v>397</v>
      </c>
      <c r="E193" t="s">
        <v>101</v>
      </c>
      <c r="F193" t="s">
        <v>104</v>
      </c>
      <c r="G193" s="3">
        <v>5695000</v>
      </c>
      <c r="H193" t="s">
        <v>452</v>
      </c>
      <c r="I193" s="3">
        <v>2026</v>
      </c>
      <c r="J193" t="s">
        <v>453</v>
      </c>
      <c r="K193" t="s">
        <v>454</v>
      </c>
      <c r="L193" t="s">
        <v>260</v>
      </c>
      <c r="M193" t="s">
        <v>105</v>
      </c>
    </row>
    <row r="194" spans="1:13">
      <c r="A194" t="s">
        <v>42</v>
      </c>
      <c r="B194" t="s">
        <v>411</v>
      </c>
      <c r="C194" t="s">
        <v>396</v>
      </c>
      <c r="D194" t="s">
        <v>397</v>
      </c>
      <c r="E194" t="s">
        <v>101</v>
      </c>
      <c r="F194" t="s">
        <v>104</v>
      </c>
      <c r="G194" s="3">
        <v>5437000</v>
      </c>
      <c r="H194" t="s">
        <v>452</v>
      </c>
      <c r="I194" s="3">
        <v>2026</v>
      </c>
      <c r="J194" t="s">
        <v>453</v>
      </c>
      <c r="K194" t="s">
        <v>454</v>
      </c>
      <c r="L194" t="s">
        <v>260</v>
      </c>
      <c r="M194" t="s">
        <v>105</v>
      </c>
    </row>
    <row r="195" spans="1:13">
      <c r="A195" t="s">
        <v>43</v>
      </c>
      <c r="B195" t="s">
        <v>412</v>
      </c>
      <c r="C195" t="s">
        <v>396</v>
      </c>
      <c r="D195" t="s">
        <v>397</v>
      </c>
      <c r="E195" t="s">
        <v>101</v>
      </c>
      <c r="F195" t="s">
        <v>104</v>
      </c>
      <c r="G195" s="3">
        <v>12918000</v>
      </c>
      <c r="H195" t="s">
        <v>452</v>
      </c>
      <c r="I195" s="3">
        <v>2026</v>
      </c>
      <c r="J195" t="s">
        <v>453</v>
      </c>
      <c r="K195" t="s">
        <v>454</v>
      </c>
      <c r="L195" t="s">
        <v>260</v>
      </c>
      <c r="M195" t="s">
        <v>105</v>
      </c>
    </row>
    <row r="196" spans="1:13">
      <c r="A196" t="s">
        <v>44</v>
      </c>
      <c r="B196" t="s">
        <v>413</v>
      </c>
      <c r="C196" t="s">
        <v>396</v>
      </c>
      <c r="D196" t="s">
        <v>397</v>
      </c>
      <c r="E196" t="s">
        <v>101</v>
      </c>
      <c r="F196" t="s">
        <v>104</v>
      </c>
      <c r="G196" s="3">
        <v>5705000</v>
      </c>
      <c r="H196" t="s">
        <v>452</v>
      </c>
      <c r="I196" s="3">
        <v>2026</v>
      </c>
      <c r="J196" t="s">
        <v>453</v>
      </c>
      <c r="K196" t="s">
        <v>454</v>
      </c>
      <c r="L196" t="s">
        <v>260</v>
      </c>
      <c r="M196" t="s">
        <v>105</v>
      </c>
    </row>
    <row r="197" spans="1:13">
      <c r="A197" t="s">
        <v>45</v>
      </c>
      <c r="B197" t="s">
        <v>414</v>
      </c>
      <c r="C197" t="s">
        <v>396</v>
      </c>
      <c r="D197" t="s">
        <v>397</v>
      </c>
      <c r="E197" t="s">
        <v>101</v>
      </c>
      <c r="F197" t="s">
        <v>104</v>
      </c>
      <c r="G197" s="3">
        <v>7843000</v>
      </c>
      <c r="H197" t="s">
        <v>452</v>
      </c>
      <c r="I197" s="3">
        <v>2026</v>
      </c>
      <c r="J197" t="s">
        <v>453</v>
      </c>
      <c r="K197" t="s">
        <v>454</v>
      </c>
      <c r="L197" t="s">
        <v>260</v>
      </c>
      <c r="M197" t="s">
        <v>105</v>
      </c>
    </row>
    <row r="198" spans="1:13">
      <c r="A198" t="s">
        <v>46</v>
      </c>
      <c r="B198" t="s">
        <v>416</v>
      </c>
      <c r="C198" t="s">
        <v>396</v>
      </c>
      <c r="D198" t="s">
        <v>183</v>
      </c>
      <c r="E198" t="s">
        <v>101</v>
      </c>
      <c r="F198" t="s">
        <v>104</v>
      </c>
      <c r="G198" s="3">
        <v>20874000</v>
      </c>
      <c r="H198" t="s">
        <v>452</v>
      </c>
      <c r="I198" s="3">
        <v>2026</v>
      </c>
      <c r="J198" t="s">
        <v>453</v>
      </c>
      <c r="K198" t="s">
        <v>454</v>
      </c>
      <c r="L198" t="s">
        <v>260</v>
      </c>
      <c r="M198" t="s">
        <v>105</v>
      </c>
    </row>
    <row r="199" spans="1:13">
      <c r="A199" t="s">
        <v>47</v>
      </c>
      <c r="B199" t="s">
        <v>417</v>
      </c>
      <c r="C199" t="s">
        <v>396</v>
      </c>
      <c r="D199" t="s">
        <v>183</v>
      </c>
      <c r="E199" t="s">
        <v>101</v>
      </c>
      <c r="F199" t="s">
        <v>104</v>
      </c>
      <c r="G199" s="3">
        <v>20779000</v>
      </c>
      <c r="H199" t="s">
        <v>452</v>
      </c>
      <c r="I199" s="3">
        <v>2026</v>
      </c>
      <c r="J199" t="s">
        <v>453</v>
      </c>
      <c r="K199" t="s">
        <v>454</v>
      </c>
      <c r="L199" t="s">
        <v>260</v>
      </c>
      <c r="M199" t="s">
        <v>105</v>
      </c>
    </row>
    <row r="200" spans="1:13">
      <c r="A200" t="s">
        <v>48</v>
      </c>
      <c r="B200" t="s">
        <v>418</v>
      </c>
      <c r="C200" t="s">
        <v>396</v>
      </c>
      <c r="D200" t="s">
        <v>419</v>
      </c>
      <c r="E200" t="s">
        <v>101</v>
      </c>
      <c r="F200" t="s">
        <v>104</v>
      </c>
      <c r="G200" s="3">
        <v>2.05</v>
      </c>
      <c r="H200" t="s">
        <v>452</v>
      </c>
      <c r="I200" s="3">
        <v>2026</v>
      </c>
      <c r="J200" t="s">
        <v>453</v>
      </c>
      <c r="K200" t="s">
        <v>454</v>
      </c>
      <c r="L200" t="s">
        <v>260</v>
      </c>
      <c r="M200" t="s">
        <v>105</v>
      </c>
    </row>
    <row r="201" spans="1:13">
      <c r="A201" t="s">
        <v>49</v>
      </c>
      <c r="B201" t="s">
        <v>420</v>
      </c>
      <c r="C201" t="s">
        <v>396</v>
      </c>
      <c r="D201" t="s">
        <v>397</v>
      </c>
      <c r="E201" t="s">
        <v>105</v>
      </c>
      <c r="F201" t="s">
        <v>104</v>
      </c>
      <c r="G201" s="3">
        <v>12591000</v>
      </c>
      <c r="H201" t="s">
        <v>458</v>
      </c>
      <c r="I201" s="3">
        <v>2025</v>
      </c>
      <c r="J201" t="s">
        <v>453</v>
      </c>
      <c r="K201" t="s">
        <v>454</v>
      </c>
      <c r="L201" t="s">
        <v>245</v>
      </c>
      <c r="M201" t="s">
        <v>459</v>
      </c>
    </row>
    <row r="202" spans="1:13">
      <c r="A202" t="s">
        <v>50</v>
      </c>
      <c r="B202" t="s">
        <v>422</v>
      </c>
      <c r="C202" t="s">
        <v>396</v>
      </c>
      <c r="D202" t="s">
        <v>397</v>
      </c>
      <c r="E202" t="s">
        <v>105</v>
      </c>
      <c r="F202" t="s">
        <v>104</v>
      </c>
      <c r="G202" s="3">
        <v>1741207000</v>
      </c>
      <c r="H202" t="s">
        <v>458</v>
      </c>
      <c r="I202" s="3">
        <v>2025</v>
      </c>
      <c r="J202" t="s">
        <v>453</v>
      </c>
      <c r="K202" t="s">
        <v>454</v>
      </c>
      <c r="L202" t="s">
        <v>245</v>
      </c>
      <c r="M202" t="s">
        <v>459</v>
      </c>
    </row>
    <row r="203" spans="1:13">
      <c r="A203" t="s">
        <v>51</v>
      </c>
      <c r="B203" t="s">
        <v>423</v>
      </c>
      <c r="C203" t="s">
        <v>396</v>
      </c>
      <c r="D203" t="s">
        <v>397</v>
      </c>
      <c r="E203" t="s">
        <v>105</v>
      </c>
      <c r="F203" t="s">
        <v>104</v>
      </c>
      <c r="G203" s="3">
        <v>735113000</v>
      </c>
      <c r="H203" t="s">
        <v>458</v>
      </c>
      <c r="I203" s="3">
        <v>2025</v>
      </c>
      <c r="J203" t="s">
        <v>453</v>
      </c>
      <c r="K203" t="s">
        <v>454</v>
      </c>
      <c r="L203" t="s">
        <v>245</v>
      </c>
      <c r="M203" t="s">
        <v>459</v>
      </c>
    </row>
    <row r="204" spans="1:13">
      <c r="A204" t="s">
        <v>52</v>
      </c>
      <c r="B204" t="s">
        <v>406</v>
      </c>
      <c r="C204" t="s">
        <v>105</v>
      </c>
      <c r="D204" t="s">
        <v>397</v>
      </c>
      <c r="E204" t="s">
        <v>105</v>
      </c>
      <c r="F204" t="s">
        <v>104</v>
      </c>
      <c r="G204" t="s">
        <v>105</v>
      </c>
      <c r="H204" t="s">
        <v>105</v>
      </c>
      <c r="I204" t="s">
        <v>105</v>
      </c>
      <c r="J204" t="s">
        <v>105</v>
      </c>
      <c r="K204" t="s">
        <v>105</v>
      </c>
      <c r="L204" t="s">
        <v>105</v>
      </c>
      <c r="M204" t="s">
        <v>105</v>
      </c>
    </row>
    <row r="205" spans="1:13">
      <c r="A205" t="s">
        <v>53</v>
      </c>
      <c r="B205" t="s">
        <v>424</v>
      </c>
      <c r="C205" t="s">
        <v>396</v>
      </c>
      <c r="D205" t="s">
        <v>397</v>
      </c>
      <c r="E205" t="s">
        <v>105</v>
      </c>
      <c r="F205" t="s">
        <v>104</v>
      </c>
      <c r="G205" s="3">
        <v>231901000</v>
      </c>
      <c r="H205" t="s">
        <v>458</v>
      </c>
      <c r="I205" s="3">
        <v>2025</v>
      </c>
      <c r="J205" t="s">
        <v>453</v>
      </c>
      <c r="K205" t="s">
        <v>454</v>
      </c>
      <c r="L205" t="s">
        <v>245</v>
      </c>
      <c r="M205" t="s">
        <v>459</v>
      </c>
    </row>
    <row r="206" spans="1:13">
      <c r="A206" t="s">
        <v>54</v>
      </c>
      <c r="B206" t="s">
        <v>425</v>
      </c>
      <c r="C206" t="s">
        <v>396</v>
      </c>
      <c r="D206" t="s">
        <v>397</v>
      </c>
      <c r="E206" t="s">
        <v>105</v>
      </c>
      <c r="F206" t="s">
        <v>104</v>
      </c>
      <c r="G206" s="3">
        <v>910645000</v>
      </c>
      <c r="H206" t="s">
        <v>452</v>
      </c>
      <c r="I206" s="3">
        <v>2026</v>
      </c>
      <c r="J206" t="s">
        <v>453</v>
      </c>
      <c r="K206" t="s">
        <v>454</v>
      </c>
      <c r="L206" t="s">
        <v>260</v>
      </c>
      <c r="M206" t="s">
        <v>459</v>
      </c>
    </row>
    <row r="207" spans="1:13">
      <c r="A207" t="s">
        <v>55</v>
      </c>
      <c r="B207" t="s">
        <v>428</v>
      </c>
      <c r="C207" t="s">
        <v>396</v>
      </c>
      <c r="D207" t="s">
        <v>397</v>
      </c>
      <c r="E207" t="s">
        <v>105</v>
      </c>
      <c r="F207" t="s">
        <v>104</v>
      </c>
      <c r="G207" s="3">
        <v>19880000</v>
      </c>
      <c r="H207" t="s">
        <v>458</v>
      </c>
      <c r="I207" s="3">
        <v>2025</v>
      </c>
      <c r="J207" t="s">
        <v>453</v>
      </c>
      <c r="K207" t="s">
        <v>454</v>
      </c>
      <c r="L207" t="s">
        <v>245</v>
      </c>
      <c r="M207" t="s">
        <v>459</v>
      </c>
    </row>
    <row r="208" spans="1:13">
      <c r="A208" t="s">
        <v>56</v>
      </c>
      <c r="B208" t="s">
        <v>429</v>
      </c>
      <c r="C208" t="s">
        <v>396</v>
      </c>
      <c r="D208" t="s">
        <v>397</v>
      </c>
      <c r="E208" t="s">
        <v>105</v>
      </c>
      <c r="F208" t="s">
        <v>104</v>
      </c>
      <c r="G208" s="3">
        <v>405697000</v>
      </c>
      <c r="H208" t="s">
        <v>458</v>
      </c>
      <c r="I208" s="3">
        <v>2025</v>
      </c>
      <c r="J208" t="s">
        <v>453</v>
      </c>
      <c r="K208" t="s">
        <v>454</v>
      </c>
      <c r="L208" t="s">
        <v>245</v>
      </c>
      <c r="M208" t="s">
        <v>459</v>
      </c>
    </row>
    <row r="209" spans="1:13">
      <c r="A209" t="s">
        <v>57</v>
      </c>
      <c r="B209" t="s">
        <v>430</v>
      </c>
      <c r="C209" t="s">
        <v>396</v>
      </c>
      <c r="D209" t="s">
        <v>397</v>
      </c>
      <c r="E209" t="s">
        <v>105</v>
      </c>
      <c r="F209" t="s">
        <v>104</v>
      </c>
      <c r="G209" s="3">
        <v>427604000</v>
      </c>
      <c r="H209" t="s">
        <v>458</v>
      </c>
      <c r="I209" s="3">
        <v>2025</v>
      </c>
      <c r="J209" t="s">
        <v>453</v>
      </c>
      <c r="K209" t="s">
        <v>454</v>
      </c>
      <c r="L209" t="s">
        <v>245</v>
      </c>
      <c r="M209" t="s">
        <v>459</v>
      </c>
    </row>
    <row r="210" spans="1:13">
      <c r="A210" t="s">
        <v>58</v>
      </c>
      <c r="B210" t="s">
        <v>431</v>
      </c>
      <c r="C210" t="s">
        <v>396</v>
      </c>
      <c r="D210" t="s">
        <v>397</v>
      </c>
      <c r="E210" t="s">
        <v>105</v>
      </c>
      <c r="F210" t="s">
        <v>104</v>
      </c>
      <c r="G210" s="3">
        <v>265695000</v>
      </c>
      <c r="H210" t="s">
        <v>458</v>
      </c>
      <c r="I210" s="3">
        <v>2025</v>
      </c>
      <c r="J210" t="s">
        <v>453</v>
      </c>
      <c r="K210" t="s">
        <v>454</v>
      </c>
      <c r="L210" t="s">
        <v>245</v>
      </c>
      <c r="M210" t="s">
        <v>459</v>
      </c>
    </row>
    <row r="211" spans="1:13">
      <c r="A211" t="s">
        <v>59</v>
      </c>
      <c r="B211" t="s">
        <v>449</v>
      </c>
      <c r="C211" t="s">
        <v>396</v>
      </c>
      <c r="D211" t="s">
        <v>397</v>
      </c>
      <c r="E211" t="s">
        <v>105</v>
      </c>
      <c r="F211" t="s">
        <v>104</v>
      </c>
      <c r="G211" s="3">
        <v>107627000</v>
      </c>
      <c r="H211" t="s">
        <v>458</v>
      </c>
      <c r="I211" s="3">
        <v>2025</v>
      </c>
      <c r="J211" t="s">
        <v>453</v>
      </c>
      <c r="K211" t="s">
        <v>454</v>
      </c>
      <c r="L211" t="s">
        <v>245</v>
      </c>
      <c r="M211" t="s">
        <v>459</v>
      </c>
    </row>
    <row r="212" spans="1:13">
      <c r="A212" t="s">
        <v>60</v>
      </c>
      <c r="B212" t="s">
        <v>433</v>
      </c>
      <c r="C212" t="s">
        <v>396</v>
      </c>
      <c r="D212" t="s">
        <v>397</v>
      </c>
      <c r="E212" t="s">
        <v>105</v>
      </c>
      <c r="F212" t="s">
        <v>104</v>
      </c>
      <c r="G212" s="3">
        <v>198377000</v>
      </c>
      <c r="H212" t="s">
        <v>458</v>
      </c>
      <c r="I212" s="3">
        <v>2025</v>
      </c>
      <c r="J212" t="s">
        <v>453</v>
      </c>
      <c r="K212" t="s">
        <v>454</v>
      </c>
      <c r="L212" t="s">
        <v>245</v>
      </c>
      <c r="M212" t="s">
        <v>459</v>
      </c>
    </row>
    <row r="213" spans="1:13">
      <c r="A213" t="s">
        <v>61</v>
      </c>
      <c r="B213" t="s">
        <v>434</v>
      </c>
      <c r="C213" t="s">
        <v>396</v>
      </c>
      <c r="D213" t="s">
        <v>397</v>
      </c>
      <c r="E213" t="s">
        <v>105</v>
      </c>
      <c r="F213" t="s">
        <v>104</v>
      </c>
      <c r="G213" s="3">
        <v>444637000</v>
      </c>
      <c r="H213" t="s">
        <v>458</v>
      </c>
      <c r="I213" s="3">
        <v>2025</v>
      </c>
      <c r="J213" t="s">
        <v>453</v>
      </c>
      <c r="K213" t="s">
        <v>454</v>
      </c>
      <c r="L213" t="s">
        <v>245</v>
      </c>
      <c r="M213" t="s">
        <v>459</v>
      </c>
    </row>
    <row r="214" spans="1:13">
      <c r="A214" t="s">
        <v>62</v>
      </c>
      <c r="B214" t="s">
        <v>435</v>
      </c>
      <c r="C214" t="s">
        <v>396</v>
      </c>
      <c r="D214" t="s">
        <v>397</v>
      </c>
      <c r="E214" t="s">
        <v>105</v>
      </c>
      <c r="F214" t="s">
        <v>104</v>
      </c>
      <c r="G214" s="3">
        <v>132338000</v>
      </c>
      <c r="H214" t="s">
        <v>458</v>
      </c>
      <c r="I214" s="3">
        <v>2025</v>
      </c>
      <c r="J214" t="s">
        <v>453</v>
      </c>
      <c r="K214" t="s">
        <v>454</v>
      </c>
      <c r="L214" t="s">
        <v>245</v>
      </c>
      <c r="M214" t="s">
        <v>459</v>
      </c>
    </row>
    <row r="215" spans="1:13">
      <c r="A215" t="s">
        <v>63</v>
      </c>
      <c r="B215" t="s">
        <v>436</v>
      </c>
      <c r="C215" t="s">
        <v>396</v>
      </c>
      <c r="D215" t="s">
        <v>183</v>
      </c>
      <c r="E215" t="s">
        <v>105</v>
      </c>
      <c r="F215" t="s">
        <v>104</v>
      </c>
      <c r="G215" s="3">
        <v>27148000</v>
      </c>
      <c r="H215" t="s">
        <v>458</v>
      </c>
      <c r="I215" s="3">
        <v>2025</v>
      </c>
      <c r="J215" t="s">
        <v>453</v>
      </c>
      <c r="K215" t="s">
        <v>454</v>
      </c>
      <c r="L215" t="s">
        <v>245</v>
      </c>
      <c r="M215" t="s">
        <v>459</v>
      </c>
    </row>
    <row r="216" spans="1:13">
      <c r="A216" t="s">
        <v>64</v>
      </c>
      <c r="B216" t="s">
        <v>406</v>
      </c>
      <c r="C216" t="s">
        <v>105</v>
      </c>
      <c r="D216" t="s">
        <v>183</v>
      </c>
      <c r="E216" t="s">
        <v>105</v>
      </c>
      <c r="F216" t="s">
        <v>104</v>
      </c>
      <c r="G216" t="s">
        <v>105</v>
      </c>
      <c r="H216" t="s">
        <v>105</v>
      </c>
      <c r="I216" t="s">
        <v>105</v>
      </c>
      <c r="J216" t="s">
        <v>105</v>
      </c>
      <c r="K216" t="s">
        <v>105</v>
      </c>
      <c r="L216" t="s">
        <v>105</v>
      </c>
      <c r="M216" t="s">
        <v>105</v>
      </c>
    </row>
    <row r="217" spans="1:13">
      <c r="A217" t="s">
        <v>65</v>
      </c>
      <c r="B217" t="s">
        <v>406</v>
      </c>
      <c r="C217" t="s">
        <v>105</v>
      </c>
      <c r="D217" t="s">
        <v>397</v>
      </c>
      <c r="E217" t="s">
        <v>105</v>
      </c>
      <c r="F217" t="s">
        <v>104</v>
      </c>
      <c r="G217" t="s">
        <v>105</v>
      </c>
      <c r="H217" t="s">
        <v>105</v>
      </c>
      <c r="I217" t="s">
        <v>105</v>
      </c>
      <c r="J217" t="s">
        <v>105</v>
      </c>
      <c r="K217" t="s">
        <v>105</v>
      </c>
      <c r="L217" t="s">
        <v>105</v>
      </c>
      <c r="M217" t="s">
        <v>105</v>
      </c>
    </row>
    <row r="218" spans="1:13">
      <c r="A218" t="s">
        <v>66</v>
      </c>
      <c r="B218" t="s">
        <v>439</v>
      </c>
      <c r="C218" t="s">
        <v>396</v>
      </c>
      <c r="D218" t="s">
        <v>397</v>
      </c>
      <c r="E218" t="s">
        <v>105</v>
      </c>
      <c r="F218" t="s">
        <v>104</v>
      </c>
      <c r="G218" s="3">
        <v>13612000</v>
      </c>
      <c r="H218" t="s">
        <v>458</v>
      </c>
      <c r="I218" s="3">
        <v>2025</v>
      </c>
      <c r="J218" t="s">
        <v>453</v>
      </c>
      <c r="K218" t="s">
        <v>454</v>
      </c>
      <c r="L218" t="s">
        <v>245</v>
      </c>
      <c r="M218" t="s">
        <v>459</v>
      </c>
    </row>
    <row r="219" spans="1:13">
      <c r="A219" t="s">
        <v>31</v>
      </c>
      <c r="B219" t="s">
        <v>395</v>
      </c>
      <c r="C219" t="s">
        <v>396</v>
      </c>
      <c r="D219" t="s">
        <v>397</v>
      </c>
      <c r="E219" t="s">
        <v>107</v>
      </c>
      <c r="F219" t="s">
        <v>108</v>
      </c>
      <c r="G219" s="3">
        <v>1163730000</v>
      </c>
      <c r="H219" t="s">
        <v>452</v>
      </c>
      <c r="I219" s="3">
        <v>2026</v>
      </c>
      <c r="J219" t="s">
        <v>453</v>
      </c>
      <c r="K219" t="s">
        <v>454</v>
      </c>
      <c r="L219" t="s">
        <v>260</v>
      </c>
      <c r="M219" t="s">
        <v>105</v>
      </c>
    </row>
    <row r="220" spans="1:13">
      <c r="A220" t="s">
        <v>32</v>
      </c>
      <c r="B220" t="s">
        <v>402</v>
      </c>
      <c r="C220" t="s">
        <v>396</v>
      </c>
      <c r="D220" t="s">
        <v>397</v>
      </c>
      <c r="E220" t="s">
        <v>107</v>
      </c>
      <c r="F220" t="s">
        <v>108</v>
      </c>
      <c r="G220" s="3">
        <v>186177000</v>
      </c>
      <c r="H220" t="s">
        <v>452</v>
      </c>
      <c r="I220" s="3">
        <v>2026</v>
      </c>
      <c r="J220" t="s">
        <v>453</v>
      </c>
      <c r="K220" t="s">
        <v>454</v>
      </c>
      <c r="L220" t="s">
        <v>260</v>
      </c>
      <c r="M220" t="s">
        <v>105</v>
      </c>
    </row>
    <row r="221" spans="1:13">
      <c r="A221" t="s">
        <v>33</v>
      </c>
      <c r="B221" t="s">
        <v>403</v>
      </c>
      <c r="C221" t="s">
        <v>396</v>
      </c>
      <c r="D221" t="s">
        <v>397</v>
      </c>
      <c r="E221" t="s">
        <v>107</v>
      </c>
      <c r="F221" t="s">
        <v>108</v>
      </c>
      <c r="G221" s="3">
        <v>79886000</v>
      </c>
      <c r="H221" t="s">
        <v>452</v>
      </c>
      <c r="I221" s="3">
        <v>2026</v>
      </c>
      <c r="J221" t="s">
        <v>453</v>
      </c>
      <c r="K221" t="s">
        <v>454</v>
      </c>
      <c r="L221" t="s">
        <v>260</v>
      </c>
      <c r="M221" t="s">
        <v>105</v>
      </c>
    </row>
    <row r="222" spans="1:13">
      <c r="A222" t="s">
        <v>34</v>
      </c>
      <c r="B222" t="s">
        <v>404</v>
      </c>
      <c r="C222" t="s">
        <v>396</v>
      </c>
      <c r="D222" t="s">
        <v>397</v>
      </c>
      <c r="E222" t="s">
        <v>107</v>
      </c>
      <c r="F222" t="s">
        <v>108</v>
      </c>
      <c r="G222" s="3">
        <v>58132000</v>
      </c>
      <c r="H222" t="s">
        <v>452</v>
      </c>
      <c r="I222" s="3">
        <v>2026</v>
      </c>
      <c r="J222" t="s">
        <v>453</v>
      </c>
      <c r="K222" t="s">
        <v>454</v>
      </c>
      <c r="L222" t="s">
        <v>260</v>
      </c>
      <c r="M222" t="s">
        <v>105</v>
      </c>
    </row>
    <row r="223" spans="1:13">
      <c r="A223" t="s">
        <v>35</v>
      </c>
      <c r="B223" t="s">
        <v>405</v>
      </c>
      <c r="C223" t="s">
        <v>396</v>
      </c>
      <c r="D223" t="s">
        <v>397</v>
      </c>
      <c r="E223" t="s">
        <v>107</v>
      </c>
      <c r="F223" t="s">
        <v>108</v>
      </c>
      <c r="G223" s="3">
        <v>7277000</v>
      </c>
      <c r="H223" t="s">
        <v>452</v>
      </c>
      <c r="I223" s="3">
        <v>2026</v>
      </c>
      <c r="J223" t="s">
        <v>453</v>
      </c>
      <c r="K223" t="s">
        <v>454</v>
      </c>
      <c r="L223" t="s">
        <v>260</v>
      </c>
      <c r="M223" t="s">
        <v>105</v>
      </c>
    </row>
    <row r="224" spans="1:13">
      <c r="A224" t="s">
        <v>36</v>
      </c>
      <c r="B224" t="s">
        <v>442</v>
      </c>
      <c r="C224" t="s">
        <v>396</v>
      </c>
      <c r="D224" t="s">
        <v>397</v>
      </c>
      <c r="E224" t="s">
        <v>107</v>
      </c>
      <c r="F224" t="s">
        <v>108</v>
      </c>
      <c r="G224" s="3">
        <v>15104000</v>
      </c>
      <c r="H224" t="s">
        <v>452</v>
      </c>
      <c r="I224" s="3">
        <v>2026</v>
      </c>
      <c r="J224" t="s">
        <v>453</v>
      </c>
      <c r="K224" t="s">
        <v>454</v>
      </c>
      <c r="L224" t="s">
        <v>260</v>
      </c>
      <c r="M224" t="s">
        <v>105</v>
      </c>
    </row>
    <row r="225" spans="1:13">
      <c r="A225" t="s">
        <v>37</v>
      </c>
      <c r="B225" t="s">
        <v>407</v>
      </c>
      <c r="C225" t="s">
        <v>396</v>
      </c>
      <c r="D225" t="s">
        <v>397</v>
      </c>
      <c r="E225" t="s">
        <v>107</v>
      </c>
      <c r="F225" t="s">
        <v>108</v>
      </c>
      <c r="G225" s="3">
        <v>70506000</v>
      </c>
      <c r="H225" t="s">
        <v>452</v>
      </c>
      <c r="I225" s="3">
        <v>2026</v>
      </c>
      <c r="J225" t="s">
        <v>453</v>
      </c>
      <c r="K225" t="s">
        <v>454</v>
      </c>
      <c r="L225" t="s">
        <v>260</v>
      </c>
      <c r="M225" t="s">
        <v>105</v>
      </c>
    </row>
    <row r="226" spans="1:13">
      <c r="A226" t="s">
        <v>38</v>
      </c>
      <c r="B226" t="s">
        <v>447</v>
      </c>
      <c r="C226" t="s">
        <v>396</v>
      </c>
      <c r="D226" t="s">
        <v>397</v>
      </c>
      <c r="E226" t="s">
        <v>107</v>
      </c>
      <c r="F226" t="s">
        <v>108</v>
      </c>
      <c r="G226" s="3">
        <v>29818000</v>
      </c>
      <c r="H226" t="s">
        <v>452</v>
      </c>
      <c r="I226" s="3">
        <v>2026</v>
      </c>
      <c r="J226" t="s">
        <v>453</v>
      </c>
      <c r="K226" t="s">
        <v>454</v>
      </c>
      <c r="L226" t="s">
        <v>260</v>
      </c>
      <c r="M226" t="s">
        <v>105</v>
      </c>
    </row>
    <row r="227" spans="1:13">
      <c r="A227" t="s">
        <v>39</v>
      </c>
      <c r="B227" t="s">
        <v>457</v>
      </c>
      <c r="C227" t="s">
        <v>396</v>
      </c>
      <c r="D227" t="s">
        <v>397</v>
      </c>
      <c r="E227" t="s">
        <v>107</v>
      </c>
      <c r="F227" t="s">
        <v>108</v>
      </c>
      <c r="G227" s="3">
        <v>1661000</v>
      </c>
      <c r="H227" t="s">
        <v>452</v>
      </c>
      <c r="I227" s="3">
        <v>2026</v>
      </c>
      <c r="J227" t="s">
        <v>453</v>
      </c>
      <c r="K227" t="s">
        <v>454</v>
      </c>
      <c r="L227" t="s">
        <v>260</v>
      </c>
      <c r="M227" t="s">
        <v>105</v>
      </c>
    </row>
    <row r="228" spans="1:13">
      <c r="A228" t="s">
        <v>40</v>
      </c>
      <c r="B228" t="s">
        <v>409</v>
      </c>
      <c r="C228" t="s">
        <v>396</v>
      </c>
      <c r="D228" t="s">
        <v>397</v>
      </c>
      <c r="E228" t="s">
        <v>107</v>
      </c>
      <c r="F228" t="s">
        <v>108</v>
      </c>
      <c r="G228" s="3">
        <v>37614000</v>
      </c>
      <c r="H228" t="s">
        <v>452</v>
      </c>
      <c r="I228" s="3">
        <v>2026</v>
      </c>
      <c r="J228" t="s">
        <v>453</v>
      </c>
      <c r="K228" t="s">
        <v>454</v>
      </c>
      <c r="L228" t="s">
        <v>260</v>
      </c>
      <c r="M228" t="s">
        <v>105</v>
      </c>
    </row>
    <row r="229" spans="1:13">
      <c r="A229" t="s">
        <v>41</v>
      </c>
      <c r="B229" t="s">
        <v>410</v>
      </c>
      <c r="C229" t="s">
        <v>396</v>
      </c>
      <c r="D229" t="s">
        <v>397</v>
      </c>
      <c r="E229" t="s">
        <v>107</v>
      </c>
      <c r="F229" t="s">
        <v>108</v>
      </c>
      <c r="G229" s="3">
        <v>5205000</v>
      </c>
      <c r="H229" t="s">
        <v>452</v>
      </c>
      <c r="I229" s="3">
        <v>2026</v>
      </c>
      <c r="J229" t="s">
        <v>453</v>
      </c>
      <c r="K229" t="s">
        <v>454</v>
      </c>
      <c r="L229" t="s">
        <v>260</v>
      </c>
      <c r="M229" t="s">
        <v>105</v>
      </c>
    </row>
    <row r="230" spans="1:13">
      <c r="A230" t="s">
        <v>42</v>
      </c>
      <c r="B230" t="s">
        <v>411</v>
      </c>
      <c r="C230" t="s">
        <v>396</v>
      </c>
      <c r="D230" t="s">
        <v>397</v>
      </c>
      <c r="E230" t="s">
        <v>107</v>
      </c>
      <c r="F230" t="s">
        <v>108</v>
      </c>
      <c r="G230" s="3">
        <v>8635000</v>
      </c>
      <c r="H230" t="s">
        <v>452</v>
      </c>
      <c r="I230" s="3">
        <v>2026</v>
      </c>
      <c r="J230" t="s">
        <v>453</v>
      </c>
      <c r="K230" t="s">
        <v>454</v>
      </c>
      <c r="L230" t="s">
        <v>260</v>
      </c>
      <c r="M230" t="s">
        <v>105</v>
      </c>
    </row>
    <row r="231" spans="1:13">
      <c r="A231" t="s">
        <v>43</v>
      </c>
      <c r="B231" t="s">
        <v>412</v>
      </c>
      <c r="C231" t="s">
        <v>396</v>
      </c>
      <c r="D231" t="s">
        <v>397</v>
      </c>
      <c r="E231" t="s">
        <v>107</v>
      </c>
      <c r="F231" t="s">
        <v>108</v>
      </c>
      <c r="G231" s="3">
        <v>12719000</v>
      </c>
      <c r="H231" t="s">
        <v>452</v>
      </c>
      <c r="I231" s="3">
        <v>2026</v>
      </c>
      <c r="J231" t="s">
        <v>453</v>
      </c>
      <c r="K231" t="s">
        <v>454</v>
      </c>
      <c r="L231" t="s">
        <v>260</v>
      </c>
      <c r="M231" t="s">
        <v>105</v>
      </c>
    </row>
    <row r="232" spans="1:13">
      <c r="A232" t="s">
        <v>44</v>
      </c>
      <c r="B232" t="s">
        <v>413</v>
      </c>
      <c r="C232" t="s">
        <v>396</v>
      </c>
      <c r="D232" t="s">
        <v>397</v>
      </c>
      <c r="E232" t="s">
        <v>107</v>
      </c>
      <c r="F232" t="s">
        <v>108</v>
      </c>
      <c r="G232" s="3">
        <v>5926000</v>
      </c>
      <c r="H232" t="s">
        <v>452</v>
      </c>
      <c r="I232" s="3">
        <v>2026</v>
      </c>
      <c r="J232" t="s">
        <v>453</v>
      </c>
      <c r="K232" t="s">
        <v>454</v>
      </c>
      <c r="L232" t="s">
        <v>260</v>
      </c>
      <c r="M232" t="s">
        <v>105</v>
      </c>
    </row>
    <row r="233" spans="1:13">
      <c r="A233" t="s">
        <v>45</v>
      </c>
      <c r="B233" t="s">
        <v>414</v>
      </c>
      <c r="C233" t="s">
        <v>396</v>
      </c>
      <c r="D233" t="s">
        <v>397</v>
      </c>
      <c r="E233" t="s">
        <v>107</v>
      </c>
      <c r="F233" t="s">
        <v>108</v>
      </c>
      <c r="G233" s="3">
        <v>0</v>
      </c>
      <c r="H233" t="s">
        <v>452</v>
      </c>
      <c r="I233" s="3">
        <v>2026</v>
      </c>
      <c r="J233" t="s">
        <v>453</v>
      </c>
      <c r="K233" t="s">
        <v>454</v>
      </c>
      <c r="L233" t="s">
        <v>260</v>
      </c>
      <c r="M233" t="s">
        <v>105</v>
      </c>
    </row>
    <row r="234" spans="1:13">
      <c r="A234" t="s">
        <v>46</v>
      </c>
      <c r="B234" t="s">
        <v>416</v>
      </c>
      <c r="C234" t="s">
        <v>396</v>
      </c>
      <c r="D234" t="s">
        <v>183</v>
      </c>
      <c r="E234" t="s">
        <v>107</v>
      </c>
      <c r="F234" t="s">
        <v>108</v>
      </c>
      <c r="G234" s="3">
        <v>21048000</v>
      </c>
      <c r="H234" t="s">
        <v>452</v>
      </c>
      <c r="I234" s="3">
        <v>2026</v>
      </c>
      <c r="J234" t="s">
        <v>453</v>
      </c>
      <c r="K234" t="s">
        <v>454</v>
      </c>
      <c r="L234" t="s">
        <v>260</v>
      </c>
      <c r="M234" t="s">
        <v>105</v>
      </c>
    </row>
    <row r="235" spans="1:13">
      <c r="A235" t="s">
        <v>47</v>
      </c>
      <c r="B235" t="s">
        <v>417</v>
      </c>
      <c r="C235" t="s">
        <v>396</v>
      </c>
      <c r="D235" t="s">
        <v>183</v>
      </c>
      <c r="E235" t="s">
        <v>107</v>
      </c>
      <c r="F235" t="s">
        <v>108</v>
      </c>
      <c r="G235" s="3">
        <v>20791000</v>
      </c>
      <c r="H235" t="s">
        <v>452</v>
      </c>
      <c r="I235" s="3">
        <v>2026</v>
      </c>
      <c r="J235" t="s">
        <v>453</v>
      </c>
      <c r="K235" t="s">
        <v>454</v>
      </c>
      <c r="L235" t="s">
        <v>260</v>
      </c>
      <c r="M235" t="s">
        <v>105</v>
      </c>
    </row>
    <row r="236" spans="1:13">
      <c r="A236" t="s">
        <v>48</v>
      </c>
      <c r="B236" t="s">
        <v>418</v>
      </c>
      <c r="C236" t="s">
        <v>396</v>
      </c>
      <c r="D236" t="s">
        <v>419</v>
      </c>
      <c r="E236" t="s">
        <v>107</v>
      </c>
      <c r="F236" t="s">
        <v>108</v>
      </c>
      <c r="G236" s="3">
        <v>2.76</v>
      </c>
      <c r="H236" t="s">
        <v>452</v>
      </c>
      <c r="I236" s="3">
        <v>2026</v>
      </c>
      <c r="J236" t="s">
        <v>453</v>
      </c>
      <c r="K236" t="s">
        <v>454</v>
      </c>
      <c r="L236" t="s">
        <v>260</v>
      </c>
      <c r="M236" t="s">
        <v>105</v>
      </c>
    </row>
    <row r="237" spans="1:13">
      <c r="A237" t="s">
        <v>49</v>
      </c>
      <c r="B237" t="s">
        <v>420</v>
      </c>
      <c r="C237" t="s">
        <v>396</v>
      </c>
      <c r="D237" t="s">
        <v>397</v>
      </c>
      <c r="E237" t="s">
        <v>105</v>
      </c>
      <c r="F237" t="s">
        <v>108</v>
      </c>
      <c r="G237" s="3">
        <v>19987000</v>
      </c>
      <c r="H237" t="s">
        <v>452</v>
      </c>
      <c r="I237" s="3">
        <v>2026</v>
      </c>
      <c r="J237" t="s">
        <v>453</v>
      </c>
      <c r="K237" t="s">
        <v>454</v>
      </c>
      <c r="L237" t="s">
        <v>260</v>
      </c>
      <c r="M237" t="s">
        <v>460</v>
      </c>
    </row>
    <row r="238" spans="1:13">
      <c r="A238" t="s">
        <v>50</v>
      </c>
      <c r="B238" t="s">
        <v>422</v>
      </c>
      <c r="C238" t="s">
        <v>396</v>
      </c>
      <c r="D238" t="s">
        <v>397</v>
      </c>
      <c r="E238" t="s">
        <v>105</v>
      </c>
      <c r="F238" t="s">
        <v>108</v>
      </c>
      <c r="G238" s="3">
        <v>1870697000</v>
      </c>
      <c r="H238" t="s">
        <v>452</v>
      </c>
      <c r="I238" s="3">
        <v>2026</v>
      </c>
      <c r="J238" t="s">
        <v>453</v>
      </c>
      <c r="K238" t="s">
        <v>454</v>
      </c>
      <c r="L238" t="s">
        <v>260</v>
      </c>
      <c r="M238" t="s">
        <v>460</v>
      </c>
    </row>
    <row r="239" spans="1:13">
      <c r="A239" t="s">
        <v>51</v>
      </c>
      <c r="B239" t="s">
        <v>423</v>
      </c>
      <c r="C239" t="s">
        <v>396</v>
      </c>
      <c r="D239" t="s">
        <v>397</v>
      </c>
      <c r="E239" t="s">
        <v>105</v>
      </c>
      <c r="F239" t="s">
        <v>108</v>
      </c>
      <c r="G239" s="3">
        <v>869956000</v>
      </c>
      <c r="H239" t="s">
        <v>452</v>
      </c>
      <c r="I239" s="3">
        <v>2026</v>
      </c>
      <c r="J239" t="s">
        <v>453</v>
      </c>
      <c r="K239" t="s">
        <v>454</v>
      </c>
      <c r="L239" t="s">
        <v>260</v>
      </c>
      <c r="M239" t="s">
        <v>460</v>
      </c>
    </row>
    <row r="240" spans="1:13">
      <c r="A240" t="s">
        <v>52</v>
      </c>
      <c r="B240" t="s">
        <v>406</v>
      </c>
      <c r="C240" t="s">
        <v>105</v>
      </c>
      <c r="D240" t="s">
        <v>397</v>
      </c>
      <c r="E240" t="s">
        <v>105</v>
      </c>
      <c r="F240" t="s">
        <v>108</v>
      </c>
      <c r="G240" t="s">
        <v>105</v>
      </c>
      <c r="H240" t="s">
        <v>105</v>
      </c>
      <c r="I240" t="s">
        <v>105</v>
      </c>
      <c r="J240" t="s">
        <v>105</v>
      </c>
      <c r="K240" t="s">
        <v>105</v>
      </c>
      <c r="L240" t="s">
        <v>105</v>
      </c>
      <c r="M240" t="s">
        <v>105</v>
      </c>
    </row>
    <row r="241" spans="1:13">
      <c r="A241" t="s">
        <v>53</v>
      </c>
      <c r="B241" t="s">
        <v>424</v>
      </c>
      <c r="C241" t="s">
        <v>396</v>
      </c>
      <c r="D241" t="s">
        <v>397</v>
      </c>
      <c r="E241" t="s">
        <v>105</v>
      </c>
      <c r="F241" t="s">
        <v>108</v>
      </c>
      <c r="G241" s="3">
        <v>295792000</v>
      </c>
      <c r="H241" t="s">
        <v>452</v>
      </c>
      <c r="I241" s="3">
        <v>2026</v>
      </c>
      <c r="J241" t="s">
        <v>453</v>
      </c>
      <c r="K241" t="s">
        <v>454</v>
      </c>
      <c r="L241" t="s">
        <v>260</v>
      </c>
      <c r="M241" t="s">
        <v>460</v>
      </c>
    </row>
    <row r="242" spans="1:13">
      <c r="A242" t="s">
        <v>54</v>
      </c>
      <c r="B242" t="s">
        <v>425</v>
      </c>
      <c r="C242" t="s">
        <v>396</v>
      </c>
      <c r="D242" t="s">
        <v>397</v>
      </c>
      <c r="E242" t="s">
        <v>105</v>
      </c>
      <c r="F242" t="s">
        <v>108</v>
      </c>
      <c r="G242" s="3">
        <v>994867000</v>
      </c>
      <c r="H242" t="s">
        <v>452</v>
      </c>
      <c r="I242" s="3">
        <v>2026</v>
      </c>
      <c r="J242" t="s">
        <v>453</v>
      </c>
      <c r="K242" t="s">
        <v>454</v>
      </c>
      <c r="L242" t="s">
        <v>260</v>
      </c>
      <c r="M242" t="s">
        <v>460</v>
      </c>
    </row>
    <row r="243" spans="1:13">
      <c r="A243" t="s">
        <v>55</v>
      </c>
      <c r="B243" t="s">
        <v>428</v>
      </c>
      <c r="C243" t="s">
        <v>396</v>
      </c>
      <c r="D243" t="s">
        <v>397</v>
      </c>
      <c r="E243" t="s">
        <v>105</v>
      </c>
      <c r="F243" t="s">
        <v>108</v>
      </c>
      <c r="G243" s="3">
        <v>17478000</v>
      </c>
      <c r="H243" t="s">
        <v>452</v>
      </c>
      <c r="I243" s="3">
        <v>2026</v>
      </c>
      <c r="J243" t="s">
        <v>453</v>
      </c>
      <c r="K243" t="s">
        <v>454</v>
      </c>
      <c r="L243" t="s">
        <v>260</v>
      </c>
      <c r="M243" t="s">
        <v>460</v>
      </c>
    </row>
    <row r="244" spans="1:13">
      <c r="A244" t="s">
        <v>56</v>
      </c>
      <c r="B244" t="s">
        <v>429</v>
      </c>
      <c r="C244" t="s">
        <v>396</v>
      </c>
      <c r="D244" t="s">
        <v>397</v>
      </c>
      <c r="E244" t="s">
        <v>105</v>
      </c>
      <c r="F244" t="s">
        <v>108</v>
      </c>
      <c r="G244" s="3">
        <v>423210000</v>
      </c>
      <c r="H244" t="s">
        <v>452</v>
      </c>
      <c r="I244" s="3">
        <v>2026</v>
      </c>
      <c r="J244" t="s">
        <v>453</v>
      </c>
      <c r="K244" t="s">
        <v>454</v>
      </c>
      <c r="L244" t="s">
        <v>260</v>
      </c>
      <c r="M244" t="s">
        <v>460</v>
      </c>
    </row>
    <row r="245" spans="1:13">
      <c r="A245" t="s">
        <v>57</v>
      </c>
      <c r="B245" t="s">
        <v>430</v>
      </c>
      <c r="C245" t="s">
        <v>396</v>
      </c>
      <c r="D245" t="s">
        <v>397</v>
      </c>
      <c r="E245" t="s">
        <v>105</v>
      </c>
      <c r="F245" t="s">
        <v>108</v>
      </c>
      <c r="G245" s="3">
        <v>442332000</v>
      </c>
      <c r="H245" t="s">
        <v>452</v>
      </c>
      <c r="I245" s="3">
        <v>2026</v>
      </c>
      <c r="J245" t="s">
        <v>453</v>
      </c>
      <c r="K245" t="s">
        <v>454</v>
      </c>
      <c r="L245" t="s">
        <v>260</v>
      </c>
      <c r="M245" t="s">
        <v>460</v>
      </c>
    </row>
    <row r="246" spans="1:13">
      <c r="A246" t="s">
        <v>58</v>
      </c>
      <c r="B246" t="s">
        <v>431</v>
      </c>
      <c r="C246" t="s">
        <v>396</v>
      </c>
      <c r="D246" t="s">
        <v>397</v>
      </c>
      <c r="E246" t="s">
        <v>105</v>
      </c>
      <c r="F246" t="s">
        <v>108</v>
      </c>
      <c r="G246" s="3">
        <v>280186000</v>
      </c>
      <c r="H246" t="s">
        <v>452</v>
      </c>
      <c r="I246" s="3">
        <v>2026</v>
      </c>
      <c r="J246" t="s">
        <v>453</v>
      </c>
      <c r="K246" t="s">
        <v>454</v>
      </c>
      <c r="L246" t="s">
        <v>260</v>
      </c>
      <c r="M246" t="s">
        <v>460</v>
      </c>
    </row>
    <row r="247" spans="1:13">
      <c r="A247" t="s">
        <v>59</v>
      </c>
      <c r="B247" t="s">
        <v>449</v>
      </c>
      <c r="C247" t="s">
        <v>396</v>
      </c>
      <c r="D247" t="s">
        <v>397</v>
      </c>
      <c r="E247" t="s">
        <v>105</v>
      </c>
      <c r="F247" t="s">
        <v>108</v>
      </c>
      <c r="G247" s="3">
        <v>99893000</v>
      </c>
      <c r="H247" t="s">
        <v>452</v>
      </c>
      <c r="I247" s="3">
        <v>2026</v>
      </c>
      <c r="J247" t="s">
        <v>453</v>
      </c>
      <c r="K247" t="s">
        <v>454</v>
      </c>
      <c r="L247" t="s">
        <v>260</v>
      </c>
      <c r="M247" t="s">
        <v>460</v>
      </c>
    </row>
    <row r="248" spans="1:13">
      <c r="A248" t="s">
        <v>60</v>
      </c>
      <c r="B248" t="s">
        <v>433</v>
      </c>
      <c r="C248" t="s">
        <v>396</v>
      </c>
      <c r="D248" t="s">
        <v>397</v>
      </c>
      <c r="E248" t="s">
        <v>105</v>
      </c>
      <c r="F248" t="s">
        <v>108</v>
      </c>
      <c r="G248" s="3">
        <v>260779000</v>
      </c>
      <c r="H248" t="s">
        <v>452</v>
      </c>
      <c r="I248" s="3">
        <v>2026</v>
      </c>
      <c r="J248" t="s">
        <v>453</v>
      </c>
      <c r="K248" t="s">
        <v>454</v>
      </c>
      <c r="L248" t="s">
        <v>260</v>
      </c>
      <c r="M248" t="s">
        <v>460</v>
      </c>
    </row>
    <row r="249" spans="1:13">
      <c r="A249" t="s">
        <v>61</v>
      </c>
      <c r="B249" t="s">
        <v>434</v>
      </c>
      <c r="C249" t="s">
        <v>396</v>
      </c>
      <c r="D249" t="s">
        <v>397</v>
      </c>
      <c r="E249" t="s">
        <v>105</v>
      </c>
      <c r="F249" t="s">
        <v>108</v>
      </c>
      <c r="G249" s="3">
        <v>487444000</v>
      </c>
      <c r="H249" t="s">
        <v>452</v>
      </c>
      <c r="I249" s="3">
        <v>2026</v>
      </c>
      <c r="J249" t="s">
        <v>453</v>
      </c>
      <c r="K249" t="s">
        <v>454</v>
      </c>
      <c r="L249" t="s">
        <v>260</v>
      </c>
      <c r="M249" t="s">
        <v>460</v>
      </c>
    </row>
    <row r="250" spans="1:13">
      <c r="A250" t="s">
        <v>62</v>
      </c>
      <c r="B250" t="s">
        <v>435</v>
      </c>
      <c r="C250" t="s">
        <v>396</v>
      </c>
      <c r="D250" t="s">
        <v>397</v>
      </c>
      <c r="E250" t="s">
        <v>105</v>
      </c>
      <c r="F250" t="s">
        <v>108</v>
      </c>
      <c r="G250" s="3">
        <v>192292000</v>
      </c>
      <c r="H250" t="s">
        <v>452</v>
      </c>
      <c r="I250" s="3">
        <v>2026</v>
      </c>
      <c r="J250" t="s">
        <v>453</v>
      </c>
      <c r="K250" t="s">
        <v>454</v>
      </c>
      <c r="L250" t="s">
        <v>260</v>
      </c>
      <c r="M250" t="s">
        <v>460</v>
      </c>
    </row>
    <row r="251" spans="1:13">
      <c r="A251" t="s">
        <v>63</v>
      </c>
      <c r="B251" t="s">
        <v>436</v>
      </c>
      <c r="C251" t="s">
        <v>396</v>
      </c>
      <c r="D251" t="s">
        <v>183</v>
      </c>
      <c r="E251" t="s">
        <v>105</v>
      </c>
      <c r="F251" t="s">
        <v>108</v>
      </c>
      <c r="G251" s="3">
        <v>27148000</v>
      </c>
      <c r="H251" t="s">
        <v>452</v>
      </c>
      <c r="I251" s="3">
        <v>2026</v>
      </c>
      <c r="J251" t="s">
        <v>453</v>
      </c>
      <c r="K251" t="s">
        <v>454</v>
      </c>
      <c r="L251" t="s">
        <v>260</v>
      </c>
      <c r="M251" t="s">
        <v>460</v>
      </c>
    </row>
    <row r="252" spans="1:13">
      <c r="A252" t="s">
        <v>64</v>
      </c>
      <c r="B252" t="s">
        <v>406</v>
      </c>
      <c r="C252" t="s">
        <v>105</v>
      </c>
      <c r="D252" t="s">
        <v>183</v>
      </c>
      <c r="E252" t="s">
        <v>105</v>
      </c>
      <c r="F252" t="s">
        <v>108</v>
      </c>
      <c r="G252" t="s">
        <v>105</v>
      </c>
      <c r="H252" t="s">
        <v>105</v>
      </c>
      <c r="I252" t="s">
        <v>105</v>
      </c>
      <c r="J252" t="s">
        <v>105</v>
      </c>
      <c r="K252" t="s">
        <v>105</v>
      </c>
      <c r="L252" t="s">
        <v>105</v>
      </c>
      <c r="M252" t="s">
        <v>105</v>
      </c>
    </row>
    <row r="253" spans="1:13">
      <c r="A253" t="s">
        <v>65</v>
      </c>
      <c r="B253" t="s">
        <v>406</v>
      </c>
      <c r="C253" t="s">
        <v>105</v>
      </c>
      <c r="D253" t="s">
        <v>397</v>
      </c>
      <c r="E253" t="s">
        <v>105</v>
      </c>
      <c r="F253" t="s">
        <v>108</v>
      </c>
      <c r="G253" t="s">
        <v>105</v>
      </c>
      <c r="H253" t="s">
        <v>105</v>
      </c>
      <c r="I253" t="s">
        <v>105</v>
      </c>
      <c r="J253" t="s">
        <v>105</v>
      </c>
      <c r="K253" t="s">
        <v>105</v>
      </c>
      <c r="L253" t="s">
        <v>105</v>
      </c>
      <c r="M253" t="s">
        <v>105</v>
      </c>
    </row>
    <row r="254" spans="1:13">
      <c r="A254" t="s">
        <v>66</v>
      </c>
      <c r="B254" t="s">
        <v>439</v>
      </c>
      <c r="C254" t="s">
        <v>396</v>
      </c>
      <c r="D254" t="s">
        <v>397</v>
      </c>
      <c r="E254" t="s">
        <v>105</v>
      </c>
      <c r="F254" t="s">
        <v>108</v>
      </c>
      <c r="G254" s="3">
        <v>12671000</v>
      </c>
      <c r="H254" t="s">
        <v>452</v>
      </c>
      <c r="I254" s="3">
        <v>2026</v>
      </c>
      <c r="J254" t="s">
        <v>453</v>
      </c>
      <c r="K254" t="s">
        <v>454</v>
      </c>
      <c r="L254" t="s">
        <v>260</v>
      </c>
      <c r="M254" t="s">
        <v>460</v>
      </c>
    </row>
    <row r="255" spans="1:13">
      <c r="A255" t="s">
        <v>39</v>
      </c>
      <c r="B255" t="s">
        <v>461</v>
      </c>
      <c r="C255" t="s">
        <v>105</v>
      </c>
      <c r="D255" t="s">
        <v>397</v>
      </c>
      <c r="E255" t="s">
        <v>95</v>
      </c>
      <c r="F255" t="s">
        <v>96</v>
      </c>
      <c r="G255" s="3">
        <v>9326000</v>
      </c>
      <c r="H255" t="s">
        <v>444</v>
      </c>
      <c r="I255" t="s">
        <v>105</v>
      </c>
      <c r="J255" t="s">
        <v>105</v>
      </c>
      <c r="K255" t="s">
        <v>105</v>
      </c>
      <c r="L255" t="s">
        <v>250</v>
      </c>
      <c r="M255" t="s">
        <v>105</v>
      </c>
    </row>
    <row r="256" spans="1:13">
      <c r="A256" t="s">
        <v>39</v>
      </c>
      <c r="B256" t="s">
        <v>461</v>
      </c>
      <c r="C256" t="s">
        <v>105</v>
      </c>
      <c r="D256" t="s">
        <v>397</v>
      </c>
      <c r="E256" t="s">
        <v>98</v>
      </c>
      <c r="F256" t="s">
        <v>99</v>
      </c>
      <c r="G256" s="3">
        <v>12159000</v>
      </c>
      <c r="H256" t="s">
        <v>444</v>
      </c>
      <c r="I256" t="s">
        <v>105</v>
      </c>
      <c r="J256" t="s">
        <v>105</v>
      </c>
      <c r="K256" t="s">
        <v>105</v>
      </c>
      <c r="L256" t="s">
        <v>250</v>
      </c>
      <c r="M256" t="s">
        <v>105</v>
      </c>
    </row>
    <row r="257" spans="1:13">
      <c r="A257" t="s">
        <v>39</v>
      </c>
      <c r="B257" t="s">
        <v>461</v>
      </c>
      <c r="C257" t="s">
        <v>105</v>
      </c>
      <c r="D257" t="s">
        <v>397</v>
      </c>
      <c r="E257" t="s">
        <v>101</v>
      </c>
      <c r="F257" t="s">
        <v>102</v>
      </c>
      <c r="G257" s="3">
        <v>26288000</v>
      </c>
      <c r="H257" t="s">
        <v>444</v>
      </c>
      <c r="I257" t="s">
        <v>105</v>
      </c>
      <c r="J257" t="s">
        <v>105</v>
      </c>
      <c r="K257" t="s">
        <v>105</v>
      </c>
      <c r="L257" t="s">
        <v>250</v>
      </c>
      <c r="M257" t="s">
        <v>105</v>
      </c>
    </row>
    <row r="258" spans="1:13">
      <c r="A258" t="s">
        <v>64</v>
      </c>
      <c r="B258" t="s">
        <v>462</v>
      </c>
      <c r="C258" t="s">
        <v>105</v>
      </c>
      <c r="D258" t="s">
        <v>183</v>
      </c>
      <c r="E258" t="s">
        <v>105</v>
      </c>
      <c r="F258" t="s">
        <v>104</v>
      </c>
      <c r="G258" s="3">
        <v>6420999.999999999</v>
      </c>
      <c r="H258" t="s">
        <v>452</v>
      </c>
      <c r="I258" t="s">
        <v>105</v>
      </c>
      <c r="J258" t="s">
        <v>105</v>
      </c>
      <c r="K258" t="s">
        <v>105</v>
      </c>
      <c r="L258" t="s">
        <v>260</v>
      </c>
      <c r="M258" t="s">
        <v>105</v>
      </c>
    </row>
    <row r="259" spans="1:13">
      <c r="A259" t="s">
        <v>64</v>
      </c>
      <c r="B259" t="s">
        <v>462</v>
      </c>
      <c r="C259" t="s">
        <v>105</v>
      </c>
      <c r="D259" t="s">
        <v>183</v>
      </c>
      <c r="E259" t="s">
        <v>105</v>
      </c>
      <c r="F259" t="s">
        <v>108</v>
      </c>
      <c r="G259" s="3">
        <v>6314000</v>
      </c>
      <c r="H259" t="s">
        <v>452</v>
      </c>
      <c r="I259" t="s">
        <v>105</v>
      </c>
      <c r="J259" t="s">
        <v>105</v>
      </c>
      <c r="K259" t="s">
        <v>105</v>
      </c>
      <c r="L259" t="s">
        <v>260</v>
      </c>
      <c r="M259" t="s">
        <v>105</v>
      </c>
    </row>
  </sheetData>
  <autoFilter ref="A1:M25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9" width="17.7109375" customWidth="1"/>
  </cols>
  <sheetData>
    <row r="1" spans="1:9" ht="32" customHeight="1">
      <c r="A1" s="1" t="s">
        <v>384</v>
      </c>
      <c r="B1" s="1" t="s">
        <v>28</v>
      </c>
      <c r="C1" s="1" t="s">
        <v>463</v>
      </c>
      <c r="D1" s="1" t="s">
        <v>387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</row>
    <row r="2" spans="1:9">
      <c r="A2" t="s">
        <v>469</v>
      </c>
      <c r="B2" t="s">
        <v>88</v>
      </c>
      <c r="C2" s="3">
        <v>829.572</v>
      </c>
      <c r="D2" t="s">
        <v>470</v>
      </c>
      <c r="E2" t="s">
        <v>471</v>
      </c>
      <c r="F2" t="s">
        <v>472</v>
      </c>
      <c r="G2" s="10" t="s">
        <v>473</v>
      </c>
      <c r="H2" t="s">
        <v>474</v>
      </c>
      <c r="I2" t="s">
        <v>475</v>
      </c>
    </row>
    <row r="3" spans="1:9">
      <c r="A3" t="s">
        <v>68</v>
      </c>
      <c r="B3" t="s">
        <v>88</v>
      </c>
      <c r="C3" s="3">
        <v>143.6</v>
      </c>
      <c r="D3" t="s">
        <v>470</v>
      </c>
      <c r="E3" t="s">
        <v>471</v>
      </c>
      <c r="F3" t="s">
        <v>476</v>
      </c>
      <c r="G3" s="10" t="s">
        <v>477</v>
      </c>
      <c r="H3" t="s">
        <v>478</v>
      </c>
      <c r="I3" t="s">
        <v>479</v>
      </c>
    </row>
    <row r="4" spans="1:9">
      <c r="A4" t="s">
        <v>469</v>
      </c>
      <c r="B4" t="s">
        <v>91</v>
      </c>
      <c r="C4" s="3">
        <v>1114.411</v>
      </c>
      <c r="D4" t="s">
        <v>470</v>
      </c>
      <c r="E4" t="s">
        <v>471</v>
      </c>
      <c r="F4" t="s">
        <v>472</v>
      </c>
      <c r="G4" s="10" t="s">
        <v>473</v>
      </c>
      <c r="H4" t="s">
        <v>474</v>
      </c>
      <c r="I4" t="s">
        <v>475</v>
      </c>
    </row>
    <row r="5" spans="1:9">
      <c r="A5" t="s">
        <v>68</v>
      </c>
      <c r="B5" t="s">
        <v>91</v>
      </c>
      <c r="C5" s="3">
        <v>196</v>
      </c>
      <c r="D5" t="s">
        <v>470</v>
      </c>
      <c r="E5" t="s">
        <v>471</v>
      </c>
      <c r="F5" t="s">
        <v>476</v>
      </c>
      <c r="G5" s="10" t="s">
        <v>477</v>
      </c>
      <c r="H5" t="s">
        <v>478</v>
      </c>
      <c r="I5" t="s">
        <v>479</v>
      </c>
    </row>
    <row r="6" spans="1:9">
      <c r="A6" t="s">
        <v>469</v>
      </c>
      <c r="B6" t="s">
        <v>94</v>
      </c>
      <c r="C6" s="3">
        <v>1127.071</v>
      </c>
      <c r="D6" t="s">
        <v>470</v>
      </c>
      <c r="E6" t="s">
        <v>471</v>
      </c>
      <c r="F6" t="s">
        <v>472</v>
      </c>
      <c r="G6" s="10" t="s">
        <v>473</v>
      </c>
      <c r="H6" t="s">
        <v>474</v>
      </c>
      <c r="I6" t="s">
        <v>475</v>
      </c>
    </row>
    <row r="7" spans="1:9">
      <c r="A7" t="s">
        <v>68</v>
      </c>
      <c r="B7" t="s">
        <v>94</v>
      </c>
      <c r="C7" s="3">
        <v>217.7</v>
      </c>
      <c r="D7" t="s">
        <v>470</v>
      </c>
      <c r="E7" t="s">
        <v>471</v>
      </c>
      <c r="F7" t="s">
        <v>480</v>
      </c>
      <c r="G7" s="10" t="s">
        <v>481</v>
      </c>
      <c r="H7" t="s">
        <v>482</v>
      </c>
      <c r="I7" t="s">
        <v>483</v>
      </c>
    </row>
    <row r="8" spans="1:9">
      <c r="A8" t="s">
        <v>469</v>
      </c>
      <c r="B8" t="s">
        <v>97</v>
      </c>
      <c r="C8" s="3">
        <v>1097.577</v>
      </c>
      <c r="D8" t="s">
        <v>470</v>
      </c>
      <c r="E8" t="s">
        <v>471</v>
      </c>
      <c r="F8" t="s">
        <v>484</v>
      </c>
      <c r="G8" s="10" t="s">
        <v>485</v>
      </c>
      <c r="H8" t="s">
        <v>486</v>
      </c>
      <c r="I8" t="s">
        <v>475</v>
      </c>
    </row>
    <row r="9" spans="1:9">
      <c r="A9" t="s">
        <v>68</v>
      </c>
      <c r="B9" t="s">
        <v>97</v>
      </c>
      <c r="C9" s="3">
        <v>221.2</v>
      </c>
      <c r="D9" t="s">
        <v>470</v>
      </c>
      <c r="E9" t="s">
        <v>471</v>
      </c>
      <c r="F9" t="s">
        <v>487</v>
      </c>
      <c r="G9" s="10" t="s">
        <v>488</v>
      </c>
      <c r="H9" t="s">
        <v>489</v>
      </c>
      <c r="I9" t="s">
        <v>479</v>
      </c>
    </row>
    <row r="10" spans="1:9">
      <c r="A10" t="s">
        <v>469</v>
      </c>
      <c r="B10" t="s">
        <v>100</v>
      </c>
      <c r="C10" s="3">
        <v>1046.194</v>
      </c>
      <c r="D10" t="s">
        <v>470</v>
      </c>
      <c r="E10" t="s">
        <v>471</v>
      </c>
      <c r="F10" t="s">
        <v>484</v>
      </c>
      <c r="G10" s="10" t="s">
        <v>485</v>
      </c>
      <c r="H10" t="s">
        <v>486</v>
      </c>
      <c r="I10" t="s">
        <v>475</v>
      </c>
    </row>
    <row r="11" spans="1:9">
      <c r="A11" t="s">
        <v>68</v>
      </c>
      <c r="B11" t="s">
        <v>100</v>
      </c>
      <c r="C11" s="3">
        <v>217</v>
      </c>
      <c r="D11" t="s">
        <v>470</v>
      </c>
      <c r="E11" t="s">
        <v>471</v>
      </c>
      <c r="F11" t="s">
        <v>487</v>
      </c>
      <c r="G11" s="10" t="s">
        <v>488</v>
      </c>
      <c r="H11" t="s">
        <v>489</v>
      </c>
      <c r="I11" t="s">
        <v>479</v>
      </c>
    </row>
    <row r="12" spans="1:9">
      <c r="A12" t="s">
        <v>469</v>
      </c>
      <c r="B12" t="s">
        <v>103</v>
      </c>
      <c r="C12" s="3">
        <v>528.316</v>
      </c>
      <c r="D12" t="s">
        <v>470</v>
      </c>
      <c r="E12" t="s">
        <v>471</v>
      </c>
      <c r="F12" t="s">
        <v>490</v>
      </c>
      <c r="G12" s="10" t="s">
        <v>491</v>
      </c>
      <c r="H12" t="s">
        <v>492</v>
      </c>
      <c r="I12" t="s">
        <v>475</v>
      </c>
    </row>
    <row r="13" spans="1:9">
      <c r="A13" t="s">
        <v>68</v>
      </c>
      <c r="B13" t="s">
        <v>103</v>
      </c>
      <c r="C13" s="3">
        <v>104.5</v>
      </c>
      <c r="D13" t="s">
        <v>470</v>
      </c>
      <c r="E13" t="s">
        <v>471</v>
      </c>
      <c r="F13" t="s">
        <v>493</v>
      </c>
      <c r="G13" s="10" t="s">
        <v>494</v>
      </c>
      <c r="H13" t="s">
        <v>495</v>
      </c>
      <c r="I13" t="s">
        <v>479</v>
      </c>
    </row>
    <row r="14" spans="1:9">
      <c r="A14" t="s">
        <v>469</v>
      </c>
      <c r="B14" t="s">
        <v>106</v>
      </c>
      <c r="C14" s="3">
        <v>569.978</v>
      </c>
      <c r="D14" t="s">
        <v>470</v>
      </c>
      <c r="E14" t="s">
        <v>471</v>
      </c>
      <c r="F14" t="s">
        <v>490</v>
      </c>
      <c r="G14" s="10" t="s">
        <v>491</v>
      </c>
      <c r="H14" t="s">
        <v>492</v>
      </c>
      <c r="I14" t="s">
        <v>475</v>
      </c>
    </row>
    <row r="15" spans="1:9">
      <c r="A15" t="s">
        <v>68</v>
      </c>
      <c r="B15" t="s">
        <v>106</v>
      </c>
      <c r="C15" s="3">
        <v>124.8</v>
      </c>
      <c r="D15" t="s">
        <v>470</v>
      </c>
      <c r="E15" t="s">
        <v>471</v>
      </c>
      <c r="F15" t="s">
        <v>493</v>
      </c>
      <c r="G15" s="10" t="s">
        <v>494</v>
      </c>
      <c r="H15" t="s">
        <v>495</v>
      </c>
      <c r="I15" t="s">
        <v>479</v>
      </c>
    </row>
    <row r="16" spans="1:9">
      <c r="A16" t="s">
        <v>68</v>
      </c>
      <c r="B16" t="s">
        <v>109</v>
      </c>
      <c r="C16" s="3">
        <v>237.2</v>
      </c>
      <c r="D16" t="s">
        <v>470</v>
      </c>
      <c r="E16" t="s">
        <v>471</v>
      </c>
      <c r="F16" t="s">
        <v>496</v>
      </c>
      <c r="G16" s="10" t="s">
        <v>497</v>
      </c>
      <c r="H16" t="s">
        <v>498</v>
      </c>
      <c r="I16" t="s">
        <v>479</v>
      </c>
    </row>
    <row r="17" spans="1:9">
      <c r="A17" t="s">
        <v>499</v>
      </c>
      <c r="B17" t="s">
        <v>88</v>
      </c>
      <c r="C17" s="3">
        <v>0</v>
      </c>
      <c r="D17" t="s">
        <v>470</v>
      </c>
      <c r="E17" t="s">
        <v>471</v>
      </c>
      <c r="F17" t="s">
        <v>500</v>
      </c>
      <c r="G17" s="10" t="s">
        <v>501</v>
      </c>
      <c r="H17" t="s">
        <v>502</v>
      </c>
      <c r="I17" t="s">
        <v>503</v>
      </c>
    </row>
    <row r="18" spans="1:9">
      <c r="A18" t="s">
        <v>499</v>
      </c>
      <c r="B18" t="s">
        <v>91</v>
      </c>
      <c r="C18" s="3">
        <v>0</v>
      </c>
      <c r="D18" t="s">
        <v>470</v>
      </c>
      <c r="E18" t="s">
        <v>471</v>
      </c>
      <c r="F18" t="s">
        <v>504</v>
      </c>
      <c r="G18" s="10" t="s">
        <v>505</v>
      </c>
      <c r="H18" t="s">
        <v>506</v>
      </c>
      <c r="I18" t="s">
        <v>503</v>
      </c>
    </row>
    <row r="19" spans="1:9">
      <c r="A19" t="s">
        <v>499</v>
      </c>
      <c r="B19" t="s">
        <v>94</v>
      </c>
      <c r="C19" s="3">
        <v>9.326000000000001</v>
      </c>
      <c r="D19" t="s">
        <v>470</v>
      </c>
      <c r="E19" t="s">
        <v>471</v>
      </c>
      <c r="F19" t="s">
        <v>484</v>
      </c>
      <c r="G19" s="10" t="s">
        <v>485</v>
      </c>
      <c r="H19" t="s">
        <v>486</v>
      </c>
      <c r="I19" t="s">
        <v>503</v>
      </c>
    </row>
    <row r="20" spans="1:9">
      <c r="A20" t="s">
        <v>499</v>
      </c>
      <c r="B20" t="s">
        <v>97</v>
      </c>
      <c r="C20" s="3">
        <v>12.159</v>
      </c>
      <c r="D20" t="s">
        <v>470</v>
      </c>
      <c r="E20" t="s">
        <v>471</v>
      </c>
      <c r="F20" t="s">
        <v>484</v>
      </c>
      <c r="G20" s="10" t="s">
        <v>485</v>
      </c>
      <c r="H20" t="s">
        <v>486</v>
      </c>
      <c r="I20" t="s">
        <v>503</v>
      </c>
    </row>
    <row r="21" spans="1:9">
      <c r="A21" t="s">
        <v>499</v>
      </c>
      <c r="B21" t="s">
        <v>100</v>
      </c>
      <c r="C21" s="3">
        <v>26.288</v>
      </c>
      <c r="D21" t="s">
        <v>470</v>
      </c>
      <c r="E21" t="s">
        <v>471</v>
      </c>
      <c r="F21" t="s">
        <v>484</v>
      </c>
      <c r="G21" s="10" t="s">
        <v>485</v>
      </c>
      <c r="H21" t="s">
        <v>486</v>
      </c>
      <c r="I21" t="s">
        <v>503</v>
      </c>
    </row>
    <row r="22" spans="1:9">
      <c r="A22" t="s">
        <v>507</v>
      </c>
      <c r="B22" t="s">
        <v>508</v>
      </c>
      <c r="C22" s="3">
        <v>442.332</v>
      </c>
      <c r="D22" t="s">
        <v>470</v>
      </c>
      <c r="E22" t="s">
        <v>471</v>
      </c>
      <c r="F22" t="s">
        <v>490</v>
      </c>
      <c r="G22" s="10" t="s">
        <v>491</v>
      </c>
      <c r="H22" t="s">
        <v>492</v>
      </c>
      <c r="I22" t="s">
        <v>509</v>
      </c>
    </row>
    <row r="23" spans="1:9">
      <c r="A23" t="s">
        <v>510</v>
      </c>
      <c r="B23" t="s">
        <v>508</v>
      </c>
      <c r="C23" s="3">
        <v>13.3</v>
      </c>
      <c r="D23" t="s">
        <v>470</v>
      </c>
      <c r="E23" t="s">
        <v>511</v>
      </c>
      <c r="F23" t="s">
        <v>490</v>
      </c>
      <c r="G23" s="10" t="s">
        <v>491</v>
      </c>
      <c r="H23" t="s">
        <v>492</v>
      </c>
      <c r="I23" t="s">
        <v>512</v>
      </c>
    </row>
    <row r="24" spans="1:9">
      <c r="A24" t="s">
        <v>513</v>
      </c>
      <c r="B24" t="s">
        <v>508</v>
      </c>
      <c r="C24" s="3">
        <v>23.155</v>
      </c>
      <c r="D24" t="s">
        <v>470</v>
      </c>
      <c r="E24" t="s">
        <v>471</v>
      </c>
      <c r="F24" t="s">
        <v>490</v>
      </c>
      <c r="G24" s="10" t="s">
        <v>491</v>
      </c>
      <c r="H24" t="s">
        <v>492</v>
      </c>
      <c r="I24" t="s">
        <v>514</v>
      </c>
    </row>
    <row r="25" spans="1:9">
      <c r="A25" t="s">
        <v>515</v>
      </c>
      <c r="B25" t="s">
        <v>508</v>
      </c>
      <c r="C25" s="3">
        <v>20.834</v>
      </c>
      <c r="D25" t="s">
        <v>470</v>
      </c>
      <c r="E25" t="s">
        <v>471</v>
      </c>
      <c r="F25" t="s">
        <v>490</v>
      </c>
      <c r="G25" s="10" t="s">
        <v>491</v>
      </c>
      <c r="H25" t="s">
        <v>492</v>
      </c>
      <c r="I25" t="s">
        <v>516</v>
      </c>
    </row>
    <row r="26" spans="1:9">
      <c r="A26" t="s">
        <v>517</v>
      </c>
      <c r="B26" t="s">
        <v>508</v>
      </c>
      <c r="C26" s="3">
        <v>21.15</v>
      </c>
      <c r="D26" t="s">
        <v>470</v>
      </c>
      <c r="E26" t="s">
        <v>518</v>
      </c>
      <c r="F26" t="s">
        <v>490</v>
      </c>
      <c r="G26" s="10" t="s">
        <v>491</v>
      </c>
      <c r="H26" t="s">
        <v>492</v>
      </c>
      <c r="I26" t="s">
        <v>519</v>
      </c>
    </row>
    <row r="27" spans="1:9">
      <c r="A27" t="s">
        <v>520</v>
      </c>
      <c r="B27" t="s">
        <v>508</v>
      </c>
      <c r="C27" s="3">
        <v>7</v>
      </c>
      <c r="D27" t="s">
        <v>470</v>
      </c>
      <c r="E27" t="s">
        <v>521</v>
      </c>
      <c r="F27" t="s">
        <v>493</v>
      </c>
      <c r="G27" s="10" t="s">
        <v>494</v>
      </c>
      <c r="H27" t="s">
        <v>495</v>
      </c>
      <c r="I27" t="s">
        <v>522</v>
      </c>
    </row>
    <row r="28" spans="1:9">
      <c r="A28" t="s">
        <v>523</v>
      </c>
      <c r="B28" t="s">
        <v>508</v>
      </c>
      <c r="C28" s="3">
        <v>100</v>
      </c>
      <c r="D28" t="s">
        <v>470</v>
      </c>
      <c r="E28" t="s">
        <v>524</v>
      </c>
      <c r="F28" t="s">
        <v>496</v>
      </c>
      <c r="G28" s="10" t="s">
        <v>497</v>
      </c>
      <c r="H28" t="s">
        <v>498</v>
      </c>
      <c r="I28" t="s">
        <v>525</v>
      </c>
    </row>
    <row r="29" spans="1:9">
      <c r="A29" t="s">
        <v>526</v>
      </c>
      <c r="B29" t="s">
        <v>508</v>
      </c>
      <c r="C29" s="3">
        <v>15</v>
      </c>
      <c r="D29" t="s">
        <v>470</v>
      </c>
      <c r="E29" t="s">
        <v>527</v>
      </c>
      <c r="F29" t="s">
        <v>493</v>
      </c>
      <c r="G29" s="10" t="s">
        <v>494</v>
      </c>
      <c r="H29" t="s">
        <v>495</v>
      </c>
      <c r="I29" t="s">
        <v>528</v>
      </c>
    </row>
  </sheetData>
  <autoFilter ref="A1:I29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4" width="17.7109375" customWidth="1"/>
  </cols>
  <sheetData>
    <row r="1" spans="1:14" ht="32" customHeight="1">
      <c r="A1" s="1" t="s">
        <v>180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29</v>
      </c>
      <c r="G1" s="1" t="s">
        <v>30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</row>
    <row r="2" spans="1:14">
      <c r="A2" t="s">
        <v>193</v>
      </c>
      <c r="B2" t="s">
        <v>395</v>
      </c>
      <c r="C2" t="s">
        <v>395</v>
      </c>
      <c r="D2" t="s">
        <v>396</v>
      </c>
      <c r="E2" t="s">
        <v>397</v>
      </c>
      <c r="F2" t="s">
        <v>101</v>
      </c>
      <c r="G2" t="s">
        <v>102</v>
      </c>
      <c r="H2" s="3">
        <v>3196600000</v>
      </c>
      <c r="I2" t="s">
        <v>529</v>
      </c>
      <c r="J2" s="3">
        <v>2025</v>
      </c>
      <c r="K2" t="s">
        <v>399</v>
      </c>
      <c r="L2" t="s">
        <v>400</v>
      </c>
      <c r="M2" t="s">
        <v>530</v>
      </c>
      <c r="N2" t="s">
        <v>455</v>
      </c>
    </row>
    <row r="3" spans="1:14">
      <c r="A3" t="s">
        <v>193</v>
      </c>
      <c r="B3" t="s">
        <v>395</v>
      </c>
      <c r="C3" t="s">
        <v>395</v>
      </c>
      <c r="D3" t="s">
        <v>396</v>
      </c>
      <c r="E3" t="s">
        <v>397</v>
      </c>
      <c r="F3" t="s">
        <v>107</v>
      </c>
      <c r="G3" t="s">
        <v>194</v>
      </c>
      <c r="H3" s="3">
        <v>1695100000</v>
      </c>
      <c r="I3" t="s">
        <v>531</v>
      </c>
      <c r="J3" s="3">
        <v>2026</v>
      </c>
      <c r="K3" t="s">
        <v>453</v>
      </c>
      <c r="L3" t="s">
        <v>454</v>
      </c>
      <c r="M3" t="s">
        <v>532</v>
      </c>
      <c r="N3" t="s">
        <v>105</v>
      </c>
    </row>
    <row r="4" spans="1:14">
      <c r="A4" t="s">
        <v>193</v>
      </c>
      <c r="B4" t="s">
        <v>395</v>
      </c>
      <c r="C4" t="s">
        <v>395</v>
      </c>
      <c r="D4" t="s">
        <v>396</v>
      </c>
      <c r="E4" t="s">
        <v>397</v>
      </c>
      <c r="F4" t="s">
        <v>101</v>
      </c>
      <c r="G4" t="s">
        <v>110</v>
      </c>
      <c r="H4" s="3">
        <v>1565600000</v>
      </c>
      <c r="I4" t="s">
        <v>531</v>
      </c>
      <c r="J4" s="3">
        <v>2026</v>
      </c>
      <c r="K4" t="s">
        <v>453</v>
      </c>
      <c r="L4" t="s">
        <v>454</v>
      </c>
      <c r="M4" t="s">
        <v>532</v>
      </c>
      <c r="N4" t="s">
        <v>105</v>
      </c>
    </row>
    <row r="5" spans="1:14">
      <c r="A5" t="s">
        <v>193</v>
      </c>
      <c r="B5" t="s">
        <v>404</v>
      </c>
      <c r="C5" t="s">
        <v>404</v>
      </c>
      <c r="D5" t="s">
        <v>396</v>
      </c>
      <c r="E5" t="s">
        <v>397</v>
      </c>
      <c r="F5" t="s">
        <v>101</v>
      </c>
      <c r="G5" t="s">
        <v>102</v>
      </c>
      <c r="H5" s="3">
        <v>235600000</v>
      </c>
      <c r="I5" t="s">
        <v>529</v>
      </c>
      <c r="J5" s="3">
        <v>2025</v>
      </c>
      <c r="K5" t="s">
        <v>399</v>
      </c>
      <c r="L5" t="s">
        <v>400</v>
      </c>
      <c r="M5" t="s">
        <v>530</v>
      </c>
      <c r="N5" t="s">
        <v>455</v>
      </c>
    </row>
    <row r="6" spans="1:14">
      <c r="A6" t="s">
        <v>193</v>
      </c>
      <c r="B6" t="s">
        <v>404</v>
      </c>
      <c r="C6" t="s">
        <v>404</v>
      </c>
      <c r="D6" t="s">
        <v>396</v>
      </c>
      <c r="E6" t="s">
        <v>397</v>
      </c>
      <c r="F6" t="s">
        <v>107</v>
      </c>
      <c r="G6" t="s">
        <v>194</v>
      </c>
      <c r="H6" s="3">
        <v>185600000</v>
      </c>
      <c r="I6" t="s">
        <v>531</v>
      </c>
      <c r="J6" s="3">
        <v>2026</v>
      </c>
      <c r="K6" t="s">
        <v>453</v>
      </c>
      <c r="L6" t="s">
        <v>454</v>
      </c>
      <c r="M6" t="s">
        <v>532</v>
      </c>
      <c r="N6" t="s">
        <v>105</v>
      </c>
    </row>
    <row r="7" spans="1:14">
      <c r="A7" t="s">
        <v>193</v>
      </c>
      <c r="B7" t="s">
        <v>404</v>
      </c>
      <c r="C7" t="s">
        <v>404</v>
      </c>
      <c r="D7" t="s">
        <v>396</v>
      </c>
      <c r="E7" t="s">
        <v>397</v>
      </c>
      <c r="F7" t="s">
        <v>101</v>
      </c>
      <c r="G7" t="s">
        <v>110</v>
      </c>
      <c r="H7" s="3">
        <v>115700000</v>
      </c>
      <c r="I7" t="s">
        <v>531</v>
      </c>
      <c r="J7" s="3">
        <v>2026</v>
      </c>
      <c r="K7" t="s">
        <v>453</v>
      </c>
      <c r="L7" t="s">
        <v>454</v>
      </c>
      <c r="M7" t="s">
        <v>532</v>
      </c>
      <c r="N7" t="s">
        <v>105</v>
      </c>
    </row>
    <row r="8" spans="1:14">
      <c r="A8" t="s">
        <v>193</v>
      </c>
      <c r="B8" t="s">
        <v>403</v>
      </c>
      <c r="C8" t="s">
        <v>403</v>
      </c>
      <c r="D8" t="s">
        <v>396</v>
      </c>
      <c r="E8" t="s">
        <v>397</v>
      </c>
      <c r="F8" t="s">
        <v>101</v>
      </c>
      <c r="G8" t="s">
        <v>102</v>
      </c>
      <c r="H8" s="3">
        <v>455900000</v>
      </c>
      <c r="I8" t="s">
        <v>529</v>
      </c>
      <c r="J8" s="3">
        <v>2025</v>
      </c>
      <c r="K8" t="s">
        <v>399</v>
      </c>
      <c r="L8" t="s">
        <v>400</v>
      </c>
      <c r="M8" t="s">
        <v>530</v>
      </c>
      <c r="N8" t="s">
        <v>455</v>
      </c>
    </row>
    <row r="9" spans="1:14">
      <c r="A9" t="s">
        <v>193</v>
      </c>
      <c r="B9" t="s">
        <v>403</v>
      </c>
      <c r="C9" t="s">
        <v>403</v>
      </c>
      <c r="D9" t="s">
        <v>396</v>
      </c>
      <c r="E9" t="s">
        <v>397</v>
      </c>
      <c r="F9" t="s">
        <v>107</v>
      </c>
      <c r="G9" t="s">
        <v>194</v>
      </c>
      <c r="H9" s="3">
        <v>306200000</v>
      </c>
      <c r="I9" t="s">
        <v>531</v>
      </c>
      <c r="J9" s="3">
        <v>2026</v>
      </c>
      <c r="K9" t="s">
        <v>453</v>
      </c>
      <c r="L9" t="s">
        <v>454</v>
      </c>
      <c r="M9" t="s">
        <v>532</v>
      </c>
      <c r="N9" t="s">
        <v>105</v>
      </c>
    </row>
    <row r="10" spans="1:14">
      <c r="A10" t="s">
        <v>193</v>
      </c>
      <c r="B10" t="s">
        <v>403</v>
      </c>
      <c r="C10" t="s">
        <v>403</v>
      </c>
      <c r="D10" t="s">
        <v>396</v>
      </c>
      <c r="E10" t="s">
        <v>397</v>
      </c>
      <c r="F10" t="s">
        <v>101</v>
      </c>
      <c r="G10" t="s">
        <v>110</v>
      </c>
      <c r="H10" s="3">
        <v>228400000</v>
      </c>
      <c r="I10" t="s">
        <v>531</v>
      </c>
      <c r="J10" s="3">
        <v>2026</v>
      </c>
      <c r="K10" t="s">
        <v>453</v>
      </c>
      <c r="L10" t="s">
        <v>454</v>
      </c>
      <c r="M10" t="s">
        <v>532</v>
      </c>
      <c r="N10" t="s">
        <v>105</v>
      </c>
    </row>
    <row r="11" spans="1:14">
      <c r="A11" t="s">
        <v>193</v>
      </c>
      <c r="B11" t="s">
        <v>402</v>
      </c>
      <c r="C11" t="s">
        <v>402</v>
      </c>
      <c r="D11" t="s">
        <v>396</v>
      </c>
      <c r="E11" t="s">
        <v>397</v>
      </c>
      <c r="F11" t="s">
        <v>101</v>
      </c>
      <c r="G11" t="s">
        <v>102</v>
      </c>
      <c r="H11" s="3">
        <v>1419900000</v>
      </c>
      <c r="I11" t="s">
        <v>529</v>
      </c>
      <c r="J11" s="3">
        <v>2025</v>
      </c>
      <c r="K11" t="s">
        <v>399</v>
      </c>
      <c r="L11" t="s">
        <v>400</v>
      </c>
      <c r="M11" t="s">
        <v>530</v>
      </c>
      <c r="N11" t="s">
        <v>455</v>
      </c>
    </row>
    <row r="12" spans="1:14">
      <c r="A12" t="s">
        <v>193</v>
      </c>
      <c r="B12" t="s">
        <v>402</v>
      </c>
      <c r="C12" t="s">
        <v>402</v>
      </c>
      <c r="D12" t="s">
        <v>396</v>
      </c>
      <c r="E12" t="s">
        <v>397</v>
      </c>
      <c r="F12" t="s">
        <v>107</v>
      </c>
      <c r="G12" t="s">
        <v>194</v>
      </c>
      <c r="H12" s="3">
        <v>800800000</v>
      </c>
      <c r="I12" t="s">
        <v>531</v>
      </c>
      <c r="J12" s="3">
        <v>2026</v>
      </c>
      <c r="K12" t="s">
        <v>453</v>
      </c>
      <c r="L12" t="s">
        <v>454</v>
      </c>
      <c r="M12" t="s">
        <v>532</v>
      </c>
      <c r="N12" t="s">
        <v>105</v>
      </c>
    </row>
    <row r="13" spans="1:14">
      <c r="A13" t="s">
        <v>193</v>
      </c>
      <c r="B13" t="s">
        <v>402</v>
      </c>
      <c r="C13" t="s">
        <v>402</v>
      </c>
      <c r="D13" t="s">
        <v>396</v>
      </c>
      <c r="E13" t="s">
        <v>397</v>
      </c>
      <c r="F13" t="s">
        <v>101</v>
      </c>
      <c r="G13" t="s">
        <v>110</v>
      </c>
      <c r="H13" s="3">
        <v>708000000</v>
      </c>
      <c r="I13" t="s">
        <v>531</v>
      </c>
      <c r="J13" s="3">
        <v>2026</v>
      </c>
      <c r="K13" t="s">
        <v>453</v>
      </c>
      <c r="L13" t="s">
        <v>454</v>
      </c>
      <c r="M13" t="s">
        <v>532</v>
      </c>
      <c r="N13" t="s">
        <v>105</v>
      </c>
    </row>
    <row r="14" spans="1:14">
      <c r="A14" t="s">
        <v>193</v>
      </c>
      <c r="B14" t="s">
        <v>407</v>
      </c>
      <c r="C14" t="s">
        <v>407</v>
      </c>
      <c r="D14" t="s">
        <v>396</v>
      </c>
      <c r="E14" t="s">
        <v>397</v>
      </c>
      <c r="F14" t="s">
        <v>101</v>
      </c>
      <c r="G14" t="s">
        <v>102</v>
      </c>
      <c r="H14" s="3">
        <v>695400000</v>
      </c>
      <c r="I14" t="s">
        <v>529</v>
      </c>
      <c r="J14" s="3">
        <v>2025</v>
      </c>
      <c r="K14" t="s">
        <v>399</v>
      </c>
      <c r="L14" t="s">
        <v>400</v>
      </c>
      <c r="M14" t="s">
        <v>530</v>
      </c>
      <c r="N14" t="s">
        <v>455</v>
      </c>
    </row>
    <row r="15" spans="1:14">
      <c r="A15" t="s">
        <v>193</v>
      </c>
      <c r="B15" t="s">
        <v>407</v>
      </c>
      <c r="C15" t="s">
        <v>407</v>
      </c>
      <c r="D15" t="s">
        <v>396</v>
      </c>
      <c r="E15" t="s">
        <v>397</v>
      </c>
      <c r="F15" t="s">
        <v>107</v>
      </c>
      <c r="G15" t="s">
        <v>194</v>
      </c>
      <c r="H15" s="3">
        <v>339200000</v>
      </c>
      <c r="I15" t="s">
        <v>531</v>
      </c>
      <c r="J15" s="3">
        <v>2026</v>
      </c>
      <c r="K15" t="s">
        <v>453</v>
      </c>
      <c r="L15" t="s">
        <v>454</v>
      </c>
      <c r="M15" t="s">
        <v>532</v>
      </c>
      <c r="N15" t="s">
        <v>105</v>
      </c>
    </row>
    <row r="16" spans="1:14">
      <c r="A16" t="s">
        <v>193</v>
      </c>
      <c r="B16" t="s">
        <v>407</v>
      </c>
      <c r="C16" t="s">
        <v>407</v>
      </c>
      <c r="D16" t="s">
        <v>396</v>
      </c>
      <c r="E16" t="s">
        <v>397</v>
      </c>
      <c r="F16" t="s">
        <v>101</v>
      </c>
      <c r="G16" t="s">
        <v>110</v>
      </c>
      <c r="H16" s="3">
        <v>253900000</v>
      </c>
      <c r="I16" t="s">
        <v>531</v>
      </c>
      <c r="J16" s="3">
        <v>2026</v>
      </c>
      <c r="K16" t="s">
        <v>453</v>
      </c>
      <c r="L16" t="s">
        <v>454</v>
      </c>
      <c r="M16" t="s">
        <v>532</v>
      </c>
      <c r="N16" t="s">
        <v>105</v>
      </c>
    </row>
    <row r="17" spans="1:14">
      <c r="A17" t="s">
        <v>193</v>
      </c>
      <c r="B17" t="s">
        <v>408</v>
      </c>
      <c r="C17" t="s">
        <v>408</v>
      </c>
      <c r="D17" t="s">
        <v>396</v>
      </c>
      <c r="E17" t="s">
        <v>397</v>
      </c>
      <c r="F17" t="s">
        <v>101</v>
      </c>
      <c r="G17" t="s">
        <v>102</v>
      </c>
      <c r="H17" s="3">
        <v>299200000</v>
      </c>
      <c r="I17" t="s">
        <v>529</v>
      </c>
      <c r="J17" s="3">
        <v>2025</v>
      </c>
      <c r="K17" t="s">
        <v>399</v>
      </c>
      <c r="L17" t="s">
        <v>400</v>
      </c>
      <c r="M17" t="s">
        <v>530</v>
      </c>
      <c r="N17" t="s">
        <v>455</v>
      </c>
    </row>
    <row r="18" spans="1:14">
      <c r="A18" t="s">
        <v>193</v>
      </c>
      <c r="B18" t="s">
        <v>408</v>
      </c>
      <c r="C18" t="s">
        <v>408</v>
      </c>
      <c r="D18" t="s">
        <v>396</v>
      </c>
      <c r="E18" t="s">
        <v>397</v>
      </c>
      <c r="F18" t="s">
        <v>107</v>
      </c>
      <c r="G18" t="s">
        <v>194</v>
      </c>
      <c r="H18" s="3">
        <v>80800000</v>
      </c>
      <c r="I18" t="s">
        <v>531</v>
      </c>
      <c r="J18" s="3">
        <v>2026</v>
      </c>
      <c r="K18" t="s">
        <v>453</v>
      </c>
      <c r="L18" t="s">
        <v>454</v>
      </c>
      <c r="M18" t="s">
        <v>532</v>
      </c>
      <c r="N18" t="s">
        <v>105</v>
      </c>
    </row>
    <row r="19" spans="1:14">
      <c r="A19" t="s">
        <v>193</v>
      </c>
      <c r="B19" t="s">
        <v>408</v>
      </c>
      <c r="C19" t="s">
        <v>408</v>
      </c>
      <c r="D19" t="s">
        <v>396</v>
      </c>
      <c r="E19" t="s">
        <v>397</v>
      </c>
      <c r="F19" t="s">
        <v>101</v>
      </c>
      <c r="G19" t="s">
        <v>110</v>
      </c>
      <c r="H19" s="3">
        <v>174500000</v>
      </c>
      <c r="I19" t="s">
        <v>531</v>
      </c>
      <c r="J19" s="3">
        <v>2026</v>
      </c>
      <c r="K19" t="s">
        <v>453</v>
      </c>
      <c r="L19" t="s">
        <v>454</v>
      </c>
      <c r="M19" t="s">
        <v>532</v>
      </c>
      <c r="N19" t="s">
        <v>105</v>
      </c>
    </row>
    <row r="20" spans="1:14">
      <c r="A20" t="s">
        <v>193</v>
      </c>
      <c r="B20" t="s">
        <v>420</v>
      </c>
      <c r="C20" t="s">
        <v>420</v>
      </c>
      <c r="D20" t="s">
        <v>396</v>
      </c>
      <c r="E20" t="s">
        <v>397</v>
      </c>
      <c r="F20" t="s">
        <v>105</v>
      </c>
      <c r="G20" t="s">
        <v>194</v>
      </c>
      <c r="H20" s="3">
        <v>353600000</v>
      </c>
      <c r="I20" t="s">
        <v>531</v>
      </c>
      <c r="J20" s="3">
        <v>2026</v>
      </c>
      <c r="K20" t="s">
        <v>453</v>
      </c>
      <c r="L20" t="s">
        <v>454</v>
      </c>
      <c r="M20" t="s">
        <v>532</v>
      </c>
      <c r="N20" t="s">
        <v>460</v>
      </c>
    </row>
    <row r="21" spans="1:14">
      <c r="A21" t="s">
        <v>193</v>
      </c>
      <c r="B21" t="s">
        <v>533</v>
      </c>
      <c r="C21" t="s">
        <v>533</v>
      </c>
      <c r="D21" t="s">
        <v>396</v>
      </c>
      <c r="E21" t="s">
        <v>397</v>
      </c>
      <c r="F21" t="s">
        <v>105</v>
      </c>
      <c r="G21" t="s">
        <v>194</v>
      </c>
      <c r="H21" s="3">
        <v>4156200000</v>
      </c>
      <c r="I21" t="s">
        <v>531</v>
      </c>
      <c r="J21" s="3">
        <v>2026</v>
      </c>
      <c r="K21" t="s">
        <v>453</v>
      </c>
      <c r="L21" t="s">
        <v>454</v>
      </c>
      <c r="M21" t="s">
        <v>532</v>
      </c>
      <c r="N21" t="s">
        <v>460</v>
      </c>
    </row>
    <row r="22" spans="1:14">
      <c r="A22" t="s">
        <v>193</v>
      </c>
      <c r="B22" t="s">
        <v>534</v>
      </c>
      <c r="C22" t="s">
        <v>534</v>
      </c>
      <c r="D22" t="s">
        <v>396</v>
      </c>
      <c r="E22" t="s">
        <v>397</v>
      </c>
      <c r="F22" t="s">
        <v>101</v>
      </c>
      <c r="G22" t="s">
        <v>102</v>
      </c>
      <c r="H22" s="3">
        <v>205300000</v>
      </c>
      <c r="I22" t="s">
        <v>529</v>
      </c>
      <c r="J22" s="3">
        <v>2025</v>
      </c>
      <c r="K22" t="s">
        <v>399</v>
      </c>
      <c r="L22" t="s">
        <v>400</v>
      </c>
      <c r="M22" t="s">
        <v>530</v>
      </c>
      <c r="N22" t="s">
        <v>455</v>
      </c>
    </row>
    <row r="23" spans="1:14">
      <c r="A23" t="s">
        <v>193</v>
      </c>
      <c r="B23" t="s">
        <v>534</v>
      </c>
      <c r="C23" t="s">
        <v>534</v>
      </c>
      <c r="D23" t="s">
        <v>396</v>
      </c>
      <c r="E23" t="s">
        <v>397</v>
      </c>
      <c r="F23" t="s">
        <v>107</v>
      </c>
      <c r="G23" t="s">
        <v>194</v>
      </c>
      <c r="H23" s="3">
        <v>68500000</v>
      </c>
      <c r="I23" t="s">
        <v>531</v>
      </c>
      <c r="J23" s="3">
        <v>2026</v>
      </c>
      <c r="K23" t="s">
        <v>453</v>
      </c>
      <c r="L23" t="s">
        <v>454</v>
      </c>
      <c r="M23" t="s">
        <v>532</v>
      </c>
      <c r="N23" t="s">
        <v>105</v>
      </c>
    </row>
    <row r="24" spans="1:14">
      <c r="A24" t="s">
        <v>193</v>
      </c>
      <c r="B24" t="s">
        <v>534</v>
      </c>
      <c r="C24" t="s">
        <v>534</v>
      </c>
      <c r="D24" t="s">
        <v>396</v>
      </c>
      <c r="E24" t="s">
        <v>397</v>
      </c>
      <c r="F24" t="s">
        <v>101</v>
      </c>
      <c r="G24" t="s">
        <v>110</v>
      </c>
      <c r="H24" s="3">
        <v>101200000</v>
      </c>
      <c r="I24" t="s">
        <v>531</v>
      </c>
      <c r="J24" s="3">
        <v>2026</v>
      </c>
      <c r="K24" t="s">
        <v>453</v>
      </c>
      <c r="L24" t="s">
        <v>454</v>
      </c>
      <c r="M24" t="s">
        <v>532</v>
      </c>
      <c r="N24" t="s">
        <v>105</v>
      </c>
    </row>
    <row r="25" spans="1:14">
      <c r="A25" t="s">
        <v>193</v>
      </c>
      <c r="B25" t="s">
        <v>410</v>
      </c>
      <c r="C25" t="s">
        <v>410</v>
      </c>
      <c r="D25" t="s">
        <v>396</v>
      </c>
      <c r="E25" t="s">
        <v>397</v>
      </c>
      <c r="F25" t="s">
        <v>101</v>
      </c>
      <c r="G25" t="s">
        <v>102</v>
      </c>
      <c r="H25" s="3">
        <v>184400000</v>
      </c>
      <c r="I25" t="s">
        <v>529</v>
      </c>
      <c r="J25" s="3">
        <v>2025</v>
      </c>
      <c r="K25" t="s">
        <v>399</v>
      </c>
      <c r="L25" t="s">
        <v>400</v>
      </c>
      <c r="M25" t="s">
        <v>530</v>
      </c>
      <c r="N25" t="s">
        <v>455</v>
      </c>
    </row>
    <row r="26" spans="1:14">
      <c r="A26" t="s">
        <v>193</v>
      </c>
      <c r="B26" t="s">
        <v>410</v>
      </c>
      <c r="C26" t="s">
        <v>410</v>
      </c>
      <c r="D26" t="s">
        <v>396</v>
      </c>
      <c r="E26" t="s">
        <v>397</v>
      </c>
      <c r="F26" t="s">
        <v>107</v>
      </c>
      <c r="G26" t="s">
        <v>194</v>
      </c>
      <c r="H26" s="3">
        <v>92400000</v>
      </c>
      <c r="I26" t="s">
        <v>531</v>
      </c>
      <c r="J26" s="3">
        <v>2026</v>
      </c>
      <c r="K26" t="s">
        <v>453</v>
      </c>
      <c r="L26" t="s">
        <v>454</v>
      </c>
      <c r="M26" t="s">
        <v>532</v>
      </c>
      <c r="N26" t="s">
        <v>105</v>
      </c>
    </row>
    <row r="27" spans="1:14">
      <c r="A27" t="s">
        <v>193</v>
      </c>
      <c r="B27" t="s">
        <v>410</v>
      </c>
      <c r="C27" t="s">
        <v>410</v>
      </c>
      <c r="D27" t="s">
        <v>396</v>
      </c>
      <c r="E27" t="s">
        <v>397</v>
      </c>
      <c r="F27" t="s">
        <v>101</v>
      </c>
      <c r="G27" t="s">
        <v>110</v>
      </c>
      <c r="H27" s="3">
        <v>92100000</v>
      </c>
      <c r="I27" t="s">
        <v>531</v>
      </c>
      <c r="J27" s="3">
        <v>2026</v>
      </c>
      <c r="K27" t="s">
        <v>453</v>
      </c>
      <c r="L27" t="s">
        <v>454</v>
      </c>
      <c r="M27" t="s">
        <v>532</v>
      </c>
      <c r="N27" t="s">
        <v>105</v>
      </c>
    </row>
    <row r="28" spans="1:14">
      <c r="A28" t="s">
        <v>193</v>
      </c>
      <c r="B28" t="s">
        <v>416</v>
      </c>
      <c r="C28" t="s">
        <v>416</v>
      </c>
      <c r="D28" t="s">
        <v>396</v>
      </c>
      <c r="E28" t="s">
        <v>183</v>
      </c>
      <c r="F28" t="s">
        <v>107</v>
      </c>
      <c r="G28" t="s">
        <v>194</v>
      </c>
      <c r="H28" s="3">
        <v>153400000</v>
      </c>
      <c r="I28" t="s">
        <v>531</v>
      </c>
      <c r="J28" s="3">
        <v>2026</v>
      </c>
      <c r="K28" t="s">
        <v>453</v>
      </c>
      <c r="L28" t="s">
        <v>454</v>
      </c>
      <c r="M28" t="s">
        <v>532</v>
      </c>
      <c r="N28" t="s">
        <v>105</v>
      </c>
    </row>
    <row r="29" spans="1:14">
      <c r="A29" t="s">
        <v>195</v>
      </c>
      <c r="B29" t="s">
        <v>395</v>
      </c>
      <c r="C29" t="s">
        <v>395</v>
      </c>
      <c r="D29" t="s">
        <v>396</v>
      </c>
      <c r="E29" t="s">
        <v>397</v>
      </c>
      <c r="F29" t="s">
        <v>535</v>
      </c>
      <c r="G29" t="s">
        <v>196</v>
      </c>
      <c r="H29" s="3">
        <v>3124200000</v>
      </c>
      <c r="I29" t="s">
        <v>536</v>
      </c>
      <c r="J29" s="3">
        <v>2026</v>
      </c>
      <c r="K29" t="s">
        <v>399</v>
      </c>
      <c r="L29" t="s">
        <v>400</v>
      </c>
      <c r="M29" t="s">
        <v>537</v>
      </c>
      <c r="N29" t="s">
        <v>538</v>
      </c>
    </row>
    <row r="30" spans="1:14">
      <c r="A30" t="s">
        <v>195</v>
      </c>
      <c r="B30" t="s">
        <v>404</v>
      </c>
      <c r="C30" t="s">
        <v>404</v>
      </c>
      <c r="D30" t="s">
        <v>396</v>
      </c>
      <c r="E30" t="s">
        <v>397</v>
      </c>
      <c r="F30" t="s">
        <v>535</v>
      </c>
      <c r="G30" t="s">
        <v>196</v>
      </c>
      <c r="H30" s="3">
        <v>529800000</v>
      </c>
      <c r="I30" t="s">
        <v>536</v>
      </c>
      <c r="J30" s="3">
        <v>2026</v>
      </c>
      <c r="K30" t="s">
        <v>399</v>
      </c>
      <c r="L30" t="s">
        <v>400</v>
      </c>
      <c r="M30" t="s">
        <v>537</v>
      </c>
      <c r="N30" t="s">
        <v>105</v>
      </c>
    </row>
    <row r="31" spans="1:14">
      <c r="A31" t="s">
        <v>195</v>
      </c>
      <c r="B31" t="s">
        <v>403</v>
      </c>
      <c r="C31" t="s">
        <v>403</v>
      </c>
      <c r="D31" t="s">
        <v>396</v>
      </c>
      <c r="E31" t="s">
        <v>397</v>
      </c>
      <c r="F31" t="s">
        <v>535</v>
      </c>
      <c r="G31" t="s">
        <v>196</v>
      </c>
      <c r="H31" s="3">
        <v>702000000</v>
      </c>
      <c r="I31" t="s">
        <v>536</v>
      </c>
      <c r="J31" s="3">
        <v>2026</v>
      </c>
      <c r="K31" t="s">
        <v>399</v>
      </c>
      <c r="L31" t="s">
        <v>400</v>
      </c>
      <c r="M31" t="s">
        <v>537</v>
      </c>
      <c r="N31" t="s">
        <v>538</v>
      </c>
    </row>
    <row r="32" spans="1:14">
      <c r="A32" t="s">
        <v>195</v>
      </c>
      <c r="B32" t="s">
        <v>402</v>
      </c>
      <c r="C32" t="s">
        <v>402</v>
      </c>
      <c r="D32" t="s">
        <v>396</v>
      </c>
      <c r="E32" t="s">
        <v>397</v>
      </c>
      <c r="F32" t="s">
        <v>535</v>
      </c>
      <c r="G32" t="s">
        <v>196</v>
      </c>
      <c r="H32" s="3">
        <v>955500000</v>
      </c>
      <c r="I32" t="s">
        <v>536</v>
      </c>
      <c r="J32" s="3">
        <v>2026</v>
      </c>
      <c r="K32" t="s">
        <v>399</v>
      </c>
      <c r="L32" t="s">
        <v>400</v>
      </c>
      <c r="M32" t="s">
        <v>537</v>
      </c>
      <c r="N32" t="s">
        <v>538</v>
      </c>
    </row>
    <row r="33" spans="1:14">
      <c r="A33" t="s">
        <v>195</v>
      </c>
      <c r="B33" t="s">
        <v>407</v>
      </c>
      <c r="C33" t="s">
        <v>407</v>
      </c>
      <c r="D33" t="s">
        <v>396</v>
      </c>
      <c r="E33" t="s">
        <v>397</v>
      </c>
      <c r="F33" t="s">
        <v>535</v>
      </c>
      <c r="G33" t="s">
        <v>196</v>
      </c>
      <c r="H33" s="3">
        <v>605000000</v>
      </c>
      <c r="I33" t="s">
        <v>536</v>
      </c>
      <c r="J33" s="3">
        <v>2026</v>
      </c>
      <c r="K33" t="s">
        <v>399</v>
      </c>
      <c r="L33" t="s">
        <v>400</v>
      </c>
      <c r="M33" t="s">
        <v>537</v>
      </c>
      <c r="N33" t="s">
        <v>538</v>
      </c>
    </row>
    <row r="34" spans="1:14">
      <c r="A34" t="s">
        <v>195</v>
      </c>
      <c r="B34" t="s">
        <v>539</v>
      </c>
      <c r="C34" t="s">
        <v>539</v>
      </c>
      <c r="D34" t="s">
        <v>396</v>
      </c>
      <c r="E34" t="s">
        <v>397</v>
      </c>
      <c r="F34" t="s">
        <v>535</v>
      </c>
      <c r="G34" t="s">
        <v>196</v>
      </c>
      <c r="H34" s="3">
        <v>242700000</v>
      </c>
      <c r="I34" t="s">
        <v>536</v>
      </c>
      <c r="J34" s="3">
        <v>2026</v>
      </c>
      <c r="K34" t="s">
        <v>399</v>
      </c>
      <c r="L34" t="s">
        <v>400</v>
      </c>
      <c r="M34" t="s">
        <v>537</v>
      </c>
      <c r="N34" t="s">
        <v>538</v>
      </c>
    </row>
    <row r="35" spans="1:14">
      <c r="A35" t="s">
        <v>195</v>
      </c>
      <c r="B35" t="s">
        <v>420</v>
      </c>
      <c r="C35" t="s">
        <v>420</v>
      </c>
      <c r="D35" t="s">
        <v>396</v>
      </c>
      <c r="E35" t="s">
        <v>397</v>
      </c>
      <c r="F35" t="s">
        <v>105</v>
      </c>
      <c r="G35" t="s">
        <v>196</v>
      </c>
      <c r="H35" s="3">
        <v>393300000</v>
      </c>
      <c r="I35" t="s">
        <v>536</v>
      </c>
      <c r="J35" s="3">
        <v>2026</v>
      </c>
      <c r="K35" t="s">
        <v>399</v>
      </c>
      <c r="L35" t="s">
        <v>400</v>
      </c>
      <c r="M35" t="s">
        <v>537</v>
      </c>
      <c r="N35" t="s">
        <v>460</v>
      </c>
    </row>
    <row r="36" spans="1:14">
      <c r="A36" t="s">
        <v>195</v>
      </c>
      <c r="B36" t="s">
        <v>425</v>
      </c>
      <c r="C36" t="s">
        <v>425</v>
      </c>
      <c r="D36" t="s">
        <v>396</v>
      </c>
      <c r="E36" t="s">
        <v>397</v>
      </c>
      <c r="F36" t="s">
        <v>105</v>
      </c>
      <c r="G36" t="s">
        <v>196</v>
      </c>
      <c r="H36" s="3">
        <v>2227600000</v>
      </c>
      <c r="I36" t="s">
        <v>536</v>
      </c>
      <c r="J36" s="3">
        <v>2026</v>
      </c>
      <c r="K36" t="s">
        <v>399</v>
      </c>
      <c r="L36" t="s">
        <v>400</v>
      </c>
      <c r="M36" t="s">
        <v>537</v>
      </c>
      <c r="N36" t="s">
        <v>460</v>
      </c>
    </row>
    <row r="37" spans="1:14">
      <c r="A37" t="s">
        <v>195</v>
      </c>
      <c r="B37" t="s">
        <v>409</v>
      </c>
      <c r="C37" t="s">
        <v>409</v>
      </c>
      <c r="D37" t="s">
        <v>396</v>
      </c>
      <c r="E37" t="s">
        <v>397</v>
      </c>
      <c r="F37" t="s">
        <v>535</v>
      </c>
      <c r="G37" t="s">
        <v>196</v>
      </c>
      <c r="H37" s="3">
        <v>147100000</v>
      </c>
      <c r="I37" t="s">
        <v>536</v>
      </c>
      <c r="J37" s="3">
        <v>2026</v>
      </c>
      <c r="K37" t="s">
        <v>399</v>
      </c>
      <c r="L37" t="s">
        <v>400</v>
      </c>
      <c r="M37" t="s">
        <v>537</v>
      </c>
      <c r="N37" t="s">
        <v>538</v>
      </c>
    </row>
    <row r="38" spans="1:14">
      <c r="A38" t="s">
        <v>195</v>
      </c>
      <c r="B38" t="s">
        <v>416</v>
      </c>
      <c r="C38" t="s">
        <v>416</v>
      </c>
      <c r="D38" t="s">
        <v>396</v>
      </c>
      <c r="E38" t="s">
        <v>183</v>
      </c>
      <c r="F38" t="s">
        <v>535</v>
      </c>
      <c r="G38" t="s">
        <v>196</v>
      </c>
      <c r="H38" s="3">
        <v>50400000</v>
      </c>
      <c r="I38" t="s">
        <v>536</v>
      </c>
      <c r="J38" s="3">
        <v>2026</v>
      </c>
      <c r="K38" t="s">
        <v>399</v>
      </c>
      <c r="L38" t="s">
        <v>400</v>
      </c>
      <c r="M38" t="s">
        <v>537</v>
      </c>
      <c r="N38" t="s">
        <v>538</v>
      </c>
    </row>
    <row r="39" spans="1:14">
      <c r="A39" t="s">
        <v>197</v>
      </c>
      <c r="B39" t="s">
        <v>395</v>
      </c>
      <c r="C39" t="s">
        <v>395</v>
      </c>
      <c r="D39" t="s">
        <v>396</v>
      </c>
      <c r="E39" t="s">
        <v>397</v>
      </c>
      <c r="F39" t="s">
        <v>540</v>
      </c>
      <c r="G39" t="s">
        <v>541</v>
      </c>
      <c r="H39" s="3">
        <v>4587400000</v>
      </c>
      <c r="I39" t="s">
        <v>542</v>
      </c>
      <c r="J39" s="3">
        <v>2025</v>
      </c>
      <c r="K39" t="s">
        <v>399</v>
      </c>
      <c r="L39" t="s">
        <v>400</v>
      </c>
      <c r="M39" t="s">
        <v>543</v>
      </c>
      <c r="N39" t="s">
        <v>455</v>
      </c>
    </row>
    <row r="40" spans="1:14">
      <c r="A40" t="s">
        <v>197</v>
      </c>
      <c r="B40" t="s">
        <v>395</v>
      </c>
      <c r="C40" t="s">
        <v>395</v>
      </c>
      <c r="D40" t="s">
        <v>396</v>
      </c>
      <c r="E40" t="s">
        <v>397</v>
      </c>
      <c r="F40" t="s">
        <v>544</v>
      </c>
      <c r="G40" t="s">
        <v>198</v>
      </c>
      <c r="H40" s="3">
        <v>2412600000</v>
      </c>
      <c r="I40" t="s">
        <v>545</v>
      </c>
      <c r="J40" s="3">
        <v>2026</v>
      </c>
      <c r="K40" t="s">
        <v>453</v>
      </c>
      <c r="L40" t="s">
        <v>454</v>
      </c>
      <c r="M40" t="s">
        <v>546</v>
      </c>
      <c r="N40" t="s">
        <v>105</v>
      </c>
    </row>
    <row r="41" spans="1:14">
      <c r="A41" t="s">
        <v>197</v>
      </c>
      <c r="B41" t="s">
        <v>395</v>
      </c>
      <c r="C41" t="s">
        <v>395</v>
      </c>
      <c r="D41" t="s">
        <v>396</v>
      </c>
      <c r="E41" t="s">
        <v>397</v>
      </c>
      <c r="F41" t="s">
        <v>540</v>
      </c>
      <c r="G41" t="s">
        <v>547</v>
      </c>
      <c r="H41" s="3">
        <v>2284800000</v>
      </c>
      <c r="I41" t="s">
        <v>545</v>
      </c>
      <c r="J41" s="3">
        <v>2026</v>
      </c>
      <c r="K41" t="s">
        <v>453</v>
      </c>
      <c r="L41" t="s">
        <v>454</v>
      </c>
      <c r="M41" t="s">
        <v>546</v>
      </c>
      <c r="N41" t="s">
        <v>105</v>
      </c>
    </row>
    <row r="42" spans="1:14">
      <c r="A42" t="s">
        <v>197</v>
      </c>
      <c r="B42" t="s">
        <v>404</v>
      </c>
      <c r="C42" t="s">
        <v>404</v>
      </c>
      <c r="D42" t="s">
        <v>396</v>
      </c>
      <c r="E42" t="s">
        <v>397</v>
      </c>
      <c r="F42" t="s">
        <v>540</v>
      </c>
      <c r="G42" t="s">
        <v>541</v>
      </c>
      <c r="H42" s="3">
        <v>404300000</v>
      </c>
      <c r="I42" t="s">
        <v>542</v>
      </c>
      <c r="J42" s="3">
        <v>2025</v>
      </c>
      <c r="K42" t="s">
        <v>399</v>
      </c>
      <c r="L42" t="s">
        <v>400</v>
      </c>
      <c r="M42" t="s">
        <v>543</v>
      </c>
      <c r="N42" t="s">
        <v>455</v>
      </c>
    </row>
    <row r="43" spans="1:14">
      <c r="A43" t="s">
        <v>197</v>
      </c>
      <c r="B43" t="s">
        <v>404</v>
      </c>
      <c r="C43" t="s">
        <v>404</v>
      </c>
      <c r="D43" t="s">
        <v>396</v>
      </c>
      <c r="E43" t="s">
        <v>397</v>
      </c>
      <c r="F43" t="s">
        <v>544</v>
      </c>
      <c r="G43" t="s">
        <v>198</v>
      </c>
      <c r="H43" s="3">
        <v>269200000</v>
      </c>
      <c r="I43" t="s">
        <v>545</v>
      </c>
      <c r="J43" s="3">
        <v>2026</v>
      </c>
      <c r="K43" t="s">
        <v>453</v>
      </c>
      <c r="L43" t="s">
        <v>454</v>
      </c>
      <c r="M43" t="s">
        <v>546</v>
      </c>
      <c r="N43" t="s">
        <v>105</v>
      </c>
    </row>
    <row r="44" spans="1:14">
      <c r="A44" t="s">
        <v>197</v>
      </c>
      <c r="B44" t="s">
        <v>404</v>
      </c>
      <c r="C44" t="s">
        <v>404</v>
      </c>
      <c r="D44" t="s">
        <v>396</v>
      </c>
      <c r="E44" t="s">
        <v>397</v>
      </c>
      <c r="F44" t="s">
        <v>540</v>
      </c>
      <c r="G44" t="s">
        <v>547</v>
      </c>
      <c r="H44" s="3">
        <v>197700000</v>
      </c>
      <c r="I44" t="s">
        <v>545</v>
      </c>
      <c r="J44" s="3">
        <v>2026</v>
      </c>
      <c r="K44" t="s">
        <v>453</v>
      </c>
      <c r="L44" t="s">
        <v>454</v>
      </c>
      <c r="M44" t="s">
        <v>546</v>
      </c>
      <c r="N44" t="s">
        <v>105</v>
      </c>
    </row>
    <row r="45" spans="1:14">
      <c r="A45" t="s">
        <v>197</v>
      </c>
      <c r="B45" t="s">
        <v>403</v>
      </c>
      <c r="C45" t="s">
        <v>403</v>
      </c>
      <c r="D45" t="s">
        <v>396</v>
      </c>
      <c r="E45" t="s">
        <v>397</v>
      </c>
      <c r="F45" t="s">
        <v>540</v>
      </c>
      <c r="G45" t="s">
        <v>541</v>
      </c>
      <c r="H45" s="3">
        <v>640900000</v>
      </c>
      <c r="I45" t="s">
        <v>542</v>
      </c>
      <c r="J45" s="3">
        <v>2025</v>
      </c>
      <c r="K45" t="s">
        <v>399</v>
      </c>
      <c r="L45" t="s">
        <v>400</v>
      </c>
      <c r="M45" t="s">
        <v>543</v>
      </c>
      <c r="N45" t="s">
        <v>455</v>
      </c>
    </row>
    <row r="46" spans="1:14">
      <c r="A46" t="s">
        <v>197</v>
      </c>
      <c r="B46" t="s">
        <v>403</v>
      </c>
      <c r="C46" t="s">
        <v>403</v>
      </c>
      <c r="D46" t="s">
        <v>396</v>
      </c>
      <c r="E46" t="s">
        <v>397</v>
      </c>
      <c r="F46" t="s">
        <v>544</v>
      </c>
      <c r="G46" t="s">
        <v>198</v>
      </c>
      <c r="H46" s="3">
        <v>383800000</v>
      </c>
      <c r="I46" t="s">
        <v>545</v>
      </c>
      <c r="J46" s="3">
        <v>2026</v>
      </c>
      <c r="K46" t="s">
        <v>453</v>
      </c>
      <c r="L46" t="s">
        <v>454</v>
      </c>
      <c r="M46" t="s">
        <v>546</v>
      </c>
      <c r="N46" t="s">
        <v>105</v>
      </c>
    </row>
    <row r="47" spans="1:14">
      <c r="A47" t="s">
        <v>197</v>
      </c>
      <c r="B47" t="s">
        <v>403</v>
      </c>
      <c r="C47" t="s">
        <v>403</v>
      </c>
      <c r="D47" t="s">
        <v>396</v>
      </c>
      <c r="E47" t="s">
        <v>397</v>
      </c>
      <c r="F47" t="s">
        <v>540</v>
      </c>
      <c r="G47" t="s">
        <v>547</v>
      </c>
      <c r="H47" s="3">
        <v>307900000</v>
      </c>
      <c r="I47" t="s">
        <v>545</v>
      </c>
      <c r="J47" s="3">
        <v>2026</v>
      </c>
      <c r="K47" t="s">
        <v>453</v>
      </c>
      <c r="L47" t="s">
        <v>454</v>
      </c>
      <c r="M47" t="s">
        <v>546</v>
      </c>
      <c r="N47" t="s">
        <v>105</v>
      </c>
    </row>
    <row r="48" spans="1:14">
      <c r="A48" t="s">
        <v>197</v>
      </c>
      <c r="B48" t="s">
        <v>402</v>
      </c>
      <c r="C48" t="s">
        <v>402</v>
      </c>
      <c r="D48" t="s">
        <v>396</v>
      </c>
      <c r="E48" t="s">
        <v>397</v>
      </c>
      <c r="F48" t="s">
        <v>540</v>
      </c>
      <c r="G48" t="s">
        <v>541</v>
      </c>
      <c r="H48" s="3">
        <v>1007000000</v>
      </c>
      <c r="I48" t="s">
        <v>542</v>
      </c>
      <c r="J48" s="3">
        <v>2025</v>
      </c>
      <c r="K48" t="s">
        <v>399</v>
      </c>
      <c r="L48" t="s">
        <v>400</v>
      </c>
      <c r="M48" t="s">
        <v>543</v>
      </c>
      <c r="N48" t="s">
        <v>455</v>
      </c>
    </row>
    <row r="49" spans="1:14">
      <c r="A49" t="s">
        <v>197</v>
      </c>
      <c r="B49" t="s">
        <v>402</v>
      </c>
      <c r="C49" t="s">
        <v>402</v>
      </c>
      <c r="D49" t="s">
        <v>396</v>
      </c>
      <c r="E49" t="s">
        <v>397</v>
      </c>
      <c r="F49" t="s">
        <v>544</v>
      </c>
      <c r="G49" t="s">
        <v>198</v>
      </c>
      <c r="H49" s="3">
        <v>572700000</v>
      </c>
      <c r="I49" t="s">
        <v>545</v>
      </c>
      <c r="J49" s="3">
        <v>2026</v>
      </c>
      <c r="K49" t="s">
        <v>453</v>
      </c>
      <c r="L49" t="s">
        <v>454</v>
      </c>
      <c r="M49" t="s">
        <v>546</v>
      </c>
      <c r="N49" t="s">
        <v>105</v>
      </c>
    </row>
    <row r="50" spans="1:14">
      <c r="A50" t="s">
        <v>197</v>
      </c>
      <c r="B50" t="s">
        <v>402</v>
      </c>
      <c r="C50" t="s">
        <v>402</v>
      </c>
      <c r="D50" t="s">
        <v>396</v>
      </c>
      <c r="E50" t="s">
        <v>397</v>
      </c>
      <c r="F50" t="s">
        <v>540</v>
      </c>
      <c r="G50" t="s">
        <v>547</v>
      </c>
      <c r="H50" s="3">
        <v>478300000</v>
      </c>
      <c r="I50" t="s">
        <v>545</v>
      </c>
      <c r="J50" s="3">
        <v>2026</v>
      </c>
      <c r="K50" t="s">
        <v>453</v>
      </c>
      <c r="L50" t="s">
        <v>454</v>
      </c>
      <c r="M50" t="s">
        <v>546</v>
      </c>
      <c r="N50" t="s">
        <v>105</v>
      </c>
    </row>
    <row r="51" spans="1:14">
      <c r="A51" t="s">
        <v>197</v>
      </c>
      <c r="B51" t="s">
        <v>407</v>
      </c>
      <c r="C51" t="s">
        <v>407</v>
      </c>
      <c r="D51" t="s">
        <v>396</v>
      </c>
      <c r="E51" t="s">
        <v>397</v>
      </c>
      <c r="F51" t="s">
        <v>540</v>
      </c>
      <c r="G51" t="s">
        <v>541</v>
      </c>
      <c r="H51" s="3">
        <v>614300000</v>
      </c>
      <c r="I51" t="s">
        <v>542</v>
      </c>
      <c r="J51" s="3">
        <v>2025</v>
      </c>
      <c r="K51" t="s">
        <v>399</v>
      </c>
      <c r="L51" t="s">
        <v>400</v>
      </c>
      <c r="M51" t="s">
        <v>543</v>
      </c>
      <c r="N51" t="s">
        <v>455</v>
      </c>
    </row>
    <row r="52" spans="1:14">
      <c r="A52" t="s">
        <v>197</v>
      </c>
      <c r="B52" t="s">
        <v>407</v>
      </c>
      <c r="C52" t="s">
        <v>407</v>
      </c>
      <c r="D52" t="s">
        <v>396</v>
      </c>
      <c r="E52" t="s">
        <v>397</v>
      </c>
      <c r="F52" t="s">
        <v>544</v>
      </c>
      <c r="G52" t="s">
        <v>198</v>
      </c>
      <c r="H52" s="3">
        <v>260000000</v>
      </c>
      <c r="I52" t="s">
        <v>545</v>
      </c>
      <c r="J52" s="3">
        <v>2026</v>
      </c>
      <c r="K52" t="s">
        <v>453</v>
      </c>
      <c r="L52" t="s">
        <v>454</v>
      </c>
      <c r="M52" t="s">
        <v>546</v>
      </c>
      <c r="N52" t="s">
        <v>105</v>
      </c>
    </row>
    <row r="53" spans="1:14">
      <c r="A53" t="s">
        <v>197</v>
      </c>
      <c r="B53" t="s">
        <v>407</v>
      </c>
      <c r="C53" t="s">
        <v>407</v>
      </c>
      <c r="D53" t="s">
        <v>396</v>
      </c>
      <c r="E53" t="s">
        <v>397</v>
      </c>
      <c r="F53" t="s">
        <v>540</v>
      </c>
      <c r="G53" t="s">
        <v>547</v>
      </c>
      <c r="H53" s="3">
        <v>69000000</v>
      </c>
      <c r="I53" t="s">
        <v>545</v>
      </c>
      <c r="J53" s="3">
        <v>2026</v>
      </c>
      <c r="K53" t="s">
        <v>453</v>
      </c>
      <c r="L53" t="s">
        <v>454</v>
      </c>
      <c r="M53" t="s">
        <v>546</v>
      </c>
      <c r="N53" t="s">
        <v>105</v>
      </c>
    </row>
    <row r="54" spans="1:14">
      <c r="A54" t="s">
        <v>197</v>
      </c>
      <c r="B54" t="s">
        <v>539</v>
      </c>
      <c r="C54" t="s">
        <v>539</v>
      </c>
      <c r="D54" t="s">
        <v>396</v>
      </c>
      <c r="E54" t="s">
        <v>397</v>
      </c>
      <c r="F54" t="s">
        <v>540</v>
      </c>
      <c r="G54" t="s">
        <v>541</v>
      </c>
      <c r="H54" s="3">
        <v>280600000</v>
      </c>
      <c r="I54" t="s">
        <v>542</v>
      </c>
      <c r="J54" s="3">
        <v>2025</v>
      </c>
      <c r="K54" t="s">
        <v>399</v>
      </c>
      <c r="L54" t="s">
        <v>400</v>
      </c>
      <c r="M54" t="s">
        <v>543</v>
      </c>
      <c r="N54" t="s">
        <v>455</v>
      </c>
    </row>
    <row r="55" spans="1:14">
      <c r="A55" t="s">
        <v>197</v>
      </c>
      <c r="B55" t="s">
        <v>539</v>
      </c>
      <c r="C55" t="s">
        <v>539</v>
      </c>
      <c r="D55" t="s">
        <v>396</v>
      </c>
      <c r="E55" t="s">
        <v>397</v>
      </c>
      <c r="F55" t="s">
        <v>544</v>
      </c>
      <c r="G55" t="s">
        <v>198</v>
      </c>
      <c r="H55" s="3">
        <v>123800000</v>
      </c>
      <c r="I55" t="s">
        <v>545</v>
      </c>
      <c r="J55" s="3">
        <v>2026</v>
      </c>
      <c r="K55" t="s">
        <v>453</v>
      </c>
      <c r="L55" t="s">
        <v>454</v>
      </c>
      <c r="M55" t="s">
        <v>546</v>
      </c>
      <c r="N55" t="s">
        <v>105</v>
      </c>
    </row>
    <row r="56" spans="1:14">
      <c r="A56" t="s">
        <v>197</v>
      </c>
      <c r="B56" t="s">
        <v>539</v>
      </c>
      <c r="C56" t="s">
        <v>539</v>
      </c>
      <c r="D56" t="s">
        <v>396</v>
      </c>
      <c r="E56" t="s">
        <v>397</v>
      </c>
      <c r="F56" t="s">
        <v>540</v>
      </c>
      <c r="G56" t="s">
        <v>547</v>
      </c>
      <c r="H56" s="3">
        <v>125400000</v>
      </c>
      <c r="I56" t="s">
        <v>545</v>
      </c>
      <c r="J56" s="3">
        <v>2026</v>
      </c>
      <c r="K56" t="s">
        <v>453</v>
      </c>
      <c r="L56" t="s">
        <v>454</v>
      </c>
      <c r="M56" t="s">
        <v>546</v>
      </c>
      <c r="N56" t="s">
        <v>105</v>
      </c>
    </row>
    <row r="57" spans="1:14">
      <c r="A57" t="s">
        <v>197</v>
      </c>
      <c r="B57" t="s">
        <v>420</v>
      </c>
      <c r="C57" t="s">
        <v>420</v>
      </c>
      <c r="D57" t="s">
        <v>396</v>
      </c>
      <c r="E57" t="s">
        <v>397</v>
      </c>
      <c r="F57" t="s">
        <v>105</v>
      </c>
      <c r="G57" t="s">
        <v>198</v>
      </c>
      <c r="H57" s="3">
        <v>783000000</v>
      </c>
      <c r="I57" t="s">
        <v>545</v>
      </c>
      <c r="J57" s="3">
        <v>2026</v>
      </c>
      <c r="K57" t="s">
        <v>453</v>
      </c>
      <c r="L57" t="s">
        <v>454</v>
      </c>
      <c r="M57" t="s">
        <v>546</v>
      </c>
      <c r="N57" t="s">
        <v>460</v>
      </c>
    </row>
    <row r="58" spans="1:14">
      <c r="A58" t="s">
        <v>197</v>
      </c>
      <c r="B58" t="s">
        <v>425</v>
      </c>
      <c r="C58" t="s">
        <v>425</v>
      </c>
      <c r="D58" t="s">
        <v>396</v>
      </c>
      <c r="E58" t="s">
        <v>397</v>
      </c>
      <c r="F58" t="s">
        <v>105</v>
      </c>
      <c r="G58" t="s">
        <v>198</v>
      </c>
      <c r="H58" s="3">
        <v>1876700000</v>
      </c>
      <c r="I58" t="s">
        <v>545</v>
      </c>
      <c r="J58" s="3">
        <v>2026</v>
      </c>
      <c r="K58" t="s">
        <v>453</v>
      </c>
      <c r="L58" t="s">
        <v>454</v>
      </c>
      <c r="M58" t="s">
        <v>546</v>
      </c>
      <c r="N58" t="s">
        <v>460</v>
      </c>
    </row>
    <row r="59" spans="1:14">
      <c r="A59" t="s">
        <v>197</v>
      </c>
      <c r="B59" t="s">
        <v>409</v>
      </c>
      <c r="C59" t="s">
        <v>409</v>
      </c>
      <c r="D59" t="s">
        <v>396</v>
      </c>
      <c r="E59" t="s">
        <v>397</v>
      </c>
      <c r="F59" t="s">
        <v>540</v>
      </c>
      <c r="G59" t="s">
        <v>541</v>
      </c>
      <c r="H59" s="3">
        <v>168100000</v>
      </c>
      <c r="I59" t="s">
        <v>542</v>
      </c>
      <c r="J59" s="3">
        <v>2025</v>
      </c>
      <c r="K59" t="s">
        <v>399</v>
      </c>
      <c r="L59" t="s">
        <v>400</v>
      </c>
      <c r="M59" t="s">
        <v>543</v>
      </c>
      <c r="N59" t="s">
        <v>455</v>
      </c>
    </row>
    <row r="60" spans="1:14">
      <c r="A60" t="s">
        <v>197</v>
      </c>
      <c r="B60" t="s">
        <v>409</v>
      </c>
      <c r="C60" t="s">
        <v>409</v>
      </c>
      <c r="D60" t="s">
        <v>396</v>
      </c>
      <c r="E60" t="s">
        <v>397</v>
      </c>
      <c r="F60" t="s">
        <v>544</v>
      </c>
      <c r="G60" t="s">
        <v>198</v>
      </c>
      <c r="H60" s="3">
        <v>89000000</v>
      </c>
      <c r="I60" t="s">
        <v>545</v>
      </c>
      <c r="J60" s="3">
        <v>2026</v>
      </c>
      <c r="K60" t="s">
        <v>453</v>
      </c>
      <c r="L60" t="s">
        <v>454</v>
      </c>
      <c r="M60" t="s">
        <v>546</v>
      </c>
      <c r="N60" t="s">
        <v>105</v>
      </c>
    </row>
    <row r="61" spans="1:14">
      <c r="A61" t="s">
        <v>197</v>
      </c>
      <c r="B61" t="s">
        <v>409</v>
      </c>
      <c r="C61" t="s">
        <v>409</v>
      </c>
      <c r="D61" t="s">
        <v>396</v>
      </c>
      <c r="E61" t="s">
        <v>397</v>
      </c>
      <c r="F61" t="s">
        <v>540</v>
      </c>
      <c r="G61" t="s">
        <v>547</v>
      </c>
      <c r="H61" s="3">
        <v>82400000</v>
      </c>
      <c r="I61" t="s">
        <v>545</v>
      </c>
      <c r="J61" s="3">
        <v>2026</v>
      </c>
      <c r="K61" t="s">
        <v>453</v>
      </c>
      <c r="L61" t="s">
        <v>454</v>
      </c>
      <c r="M61" t="s">
        <v>546</v>
      </c>
      <c r="N61" t="s">
        <v>105</v>
      </c>
    </row>
    <row r="62" spans="1:14">
      <c r="A62" t="s">
        <v>197</v>
      </c>
      <c r="B62" t="s">
        <v>416</v>
      </c>
      <c r="C62" t="s">
        <v>416</v>
      </c>
      <c r="D62" t="s">
        <v>396</v>
      </c>
      <c r="E62" t="s">
        <v>183</v>
      </c>
      <c r="F62" t="s">
        <v>544</v>
      </c>
      <c r="G62" t="s">
        <v>198</v>
      </c>
      <c r="H62" s="3">
        <v>138500000</v>
      </c>
      <c r="I62" t="s">
        <v>545</v>
      </c>
      <c r="J62" s="3">
        <v>2026</v>
      </c>
      <c r="K62" t="s">
        <v>453</v>
      </c>
      <c r="L62" t="s">
        <v>454</v>
      </c>
      <c r="M62" t="s">
        <v>546</v>
      </c>
      <c r="N62" t="s">
        <v>105</v>
      </c>
    </row>
  </sheetData>
  <autoFilter ref="A1:N6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3" width="17.7109375" customWidth="1"/>
  </cols>
  <sheetData>
    <row r="1" spans="1:13" ht="32" customHeight="1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  <c r="F1" s="1" t="s">
        <v>553</v>
      </c>
      <c r="G1" s="1" t="s">
        <v>554</v>
      </c>
      <c r="H1" s="1" t="s">
        <v>555</v>
      </c>
      <c r="I1" s="1" t="s">
        <v>467</v>
      </c>
      <c r="J1" s="1" t="s">
        <v>556</v>
      </c>
      <c r="K1" s="1" t="s">
        <v>557</v>
      </c>
      <c r="L1" s="1" t="s">
        <v>558</v>
      </c>
      <c r="M1" s="1" t="s">
        <v>559</v>
      </c>
    </row>
    <row r="2" spans="1:13">
      <c r="A2" t="s">
        <v>560</v>
      </c>
      <c r="B2" t="s">
        <v>561</v>
      </c>
      <c r="C2" t="s">
        <v>562</v>
      </c>
      <c r="D2" t="s">
        <v>563</v>
      </c>
      <c r="E2" t="s">
        <v>562</v>
      </c>
      <c r="F2" t="s">
        <v>105</v>
      </c>
      <c r="G2" t="s">
        <v>564</v>
      </c>
      <c r="H2" s="10" t="s">
        <v>565</v>
      </c>
      <c r="I2" t="s">
        <v>566</v>
      </c>
      <c r="J2" t="s">
        <v>105</v>
      </c>
      <c r="K2" t="s">
        <v>105</v>
      </c>
      <c r="L2" t="s">
        <v>105</v>
      </c>
      <c r="M2" t="s">
        <v>567</v>
      </c>
    </row>
    <row r="3" spans="1:13">
      <c r="A3" t="s">
        <v>568</v>
      </c>
      <c r="B3" t="s">
        <v>561</v>
      </c>
      <c r="C3" t="s">
        <v>562</v>
      </c>
      <c r="D3" t="s">
        <v>569</v>
      </c>
      <c r="E3" t="s">
        <v>562</v>
      </c>
      <c r="F3" t="s">
        <v>105</v>
      </c>
      <c r="G3" t="s">
        <v>564</v>
      </c>
      <c r="H3" s="10" t="s">
        <v>570</v>
      </c>
      <c r="I3" t="s">
        <v>571</v>
      </c>
      <c r="J3" t="s">
        <v>105</v>
      </c>
      <c r="K3" t="s">
        <v>105</v>
      </c>
      <c r="L3" t="s">
        <v>105</v>
      </c>
      <c r="M3" t="s">
        <v>567</v>
      </c>
    </row>
    <row r="4" spans="1:13">
      <c r="A4" t="s">
        <v>572</v>
      </c>
      <c r="B4" t="s">
        <v>561</v>
      </c>
      <c r="C4" t="s">
        <v>562</v>
      </c>
      <c r="D4" t="s">
        <v>573</v>
      </c>
      <c r="E4" t="s">
        <v>562</v>
      </c>
      <c r="F4" t="s">
        <v>105</v>
      </c>
      <c r="G4" t="s">
        <v>564</v>
      </c>
      <c r="H4" s="10" t="s">
        <v>574</v>
      </c>
      <c r="I4" t="s">
        <v>575</v>
      </c>
      <c r="J4" t="s">
        <v>105</v>
      </c>
      <c r="K4" t="s">
        <v>105</v>
      </c>
      <c r="L4" t="s">
        <v>105</v>
      </c>
      <c r="M4" t="s">
        <v>567</v>
      </c>
    </row>
    <row r="5" spans="1:13">
      <c r="A5" t="s">
        <v>576</v>
      </c>
      <c r="B5" t="s">
        <v>561</v>
      </c>
      <c r="C5" t="s">
        <v>562</v>
      </c>
      <c r="D5" t="s">
        <v>577</v>
      </c>
      <c r="E5" t="s">
        <v>562</v>
      </c>
      <c r="F5" t="s">
        <v>105</v>
      </c>
      <c r="G5" t="s">
        <v>564</v>
      </c>
      <c r="H5" s="10" t="s">
        <v>578</v>
      </c>
      <c r="I5" t="s">
        <v>579</v>
      </c>
      <c r="J5" t="s">
        <v>105</v>
      </c>
      <c r="K5" t="s">
        <v>105</v>
      </c>
      <c r="L5" t="s">
        <v>105</v>
      </c>
      <c r="M5" t="s">
        <v>567</v>
      </c>
    </row>
    <row r="6" spans="1:13">
      <c r="A6" t="s">
        <v>580</v>
      </c>
      <c r="B6" t="s">
        <v>581</v>
      </c>
      <c r="C6" t="s">
        <v>582</v>
      </c>
      <c r="D6" t="s">
        <v>583</v>
      </c>
      <c r="E6" t="s">
        <v>582</v>
      </c>
      <c r="F6" t="s">
        <v>260</v>
      </c>
      <c r="G6" t="s">
        <v>564</v>
      </c>
      <c r="H6" s="10" t="s">
        <v>491</v>
      </c>
      <c r="I6" t="s">
        <v>492</v>
      </c>
      <c r="J6" t="s">
        <v>105</v>
      </c>
      <c r="K6" t="s">
        <v>105</v>
      </c>
      <c r="L6" t="s">
        <v>105</v>
      </c>
      <c r="M6" t="s">
        <v>567</v>
      </c>
    </row>
    <row r="7" spans="1:13">
      <c r="A7" t="s">
        <v>584</v>
      </c>
      <c r="B7" t="s">
        <v>581</v>
      </c>
      <c r="C7" t="s">
        <v>582</v>
      </c>
      <c r="D7" t="s">
        <v>585</v>
      </c>
      <c r="E7" t="s">
        <v>582</v>
      </c>
      <c r="F7" t="s">
        <v>260</v>
      </c>
      <c r="G7" t="s">
        <v>564</v>
      </c>
      <c r="H7" s="10" t="s">
        <v>586</v>
      </c>
      <c r="I7" t="s">
        <v>587</v>
      </c>
      <c r="J7" t="s">
        <v>105</v>
      </c>
      <c r="K7" t="s">
        <v>105</v>
      </c>
      <c r="L7" t="s">
        <v>105</v>
      </c>
      <c r="M7" t="s">
        <v>567</v>
      </c>
    </row>
    <row r="8" spans="1:13">
      <c r="A8" t="s">
        <v>588</v>
      </c>
      <c r="B8" t="s">
        <v>581</v>
      </c>
      <c r="C8" t="s">
        <v>582</v>
      </c>
      <c r="D8" t="s">
        <v>589</v>
      </c>
      <c r="E8" t="s">
        <v>582</v>
      </c>
      <c r="F8" t="s">
        <v>590</v>
      </c>
      <c r="G8" t="s">
        <v>564</v>
      </c>
      <c r="H8" s="10" t="s">
        <v>591</v>
      </c>
      <c r="I8" t="s">
        <v>592</v>
      </c>
      <c r="J8" t="s">
        <v>105</v>
      </c>
      <c r="K8" t="s">
        <v>105</v>
      </c>
      <c r="L8" t="s">
        <v>105</v>
      </c>
      <c r="M8" t="s">
        <v>567</v>
      </c>
    </row>
    <row r="9" spans="1:13">
      <c r="A9" t="s">
        <v>593</v>
      </c>
      <c r="B9" t="s">
        <v>581</v>
      </c>
      <c r="C9" t="s">
        <v>582</v>
      </c>
      <c r="D9" t="s">
        <v>594</v>
      </c>
      <c r="E9" t="s">
        <v>582</v>
      </c>
      <c r="F9" t="s">
        <v>252</v>
      </c>
      <c r="G9" t="s">
        <v>564</v>
      </c>
      <c r="H9" s="10" t="s">
        <v>595</v>
      </c>
      <c r="I9" t="s">
        <v>596</v>
      </c>
      <c r="J9" t="s">
        <v>105</v>
      </c>
      <c r="K9" t="s">
        <v>105</v>
      </c>
      <c r="L9" t="s">
        <v>105</v>
      </c>
      <c r="M9" t="s">
        <v>567</v>
      </c>
    </row>
    <row r="10" spans="1:13">
      <c r="A10" t="s">
        <v>597</v>
      </c>
      <c r="B10" t="s">
        <v>581</v>
      </c>
      <c r="C10" t="s">
        <v>582</v>
      </c>
      <c r="D10" t="s">
        <v>598</v>
      </c>
      <c r="E10" t="s">
        <v>582</v>
      </c>
      <c r="F10" t="s">
        <v>252</v>
      </c>
      <c r="G10" t="s">
        <v>564</v>
      </c>
      <c r="H10" s="10" t="s">
        <v>599</v>
      </c>
      <c r="I10" t="s">
        <v>600</v>
      </c>
      <c r="J10" t="s">
        <v>105</v>
      </c>
      <c r="K10" t="s">
        <v>105</v>
      </c>
      <c r="L10" t="s">
        <v>105</v>
      </c>
      <c r="M10" t="s">
        <v>567</v>
      </c>
    </row>
    <row r="11" spans="1:13">
      <c r="A11" t="s">
        <v>601</v>
      </c>
      <c r="B11" t="s">
        <v>581</v>
      </c>
      <c r="C11" t="s">
        <v>582</v>
      </c>
      <c r="D11" t="s">
        <v>602</v>
      </c>
      <c r="E11" t="s">
        <v>582</v>
      </c>
      <c r="F11" t="s">
        <v>603</v>
      </c>
      <c r="G11" t="s">
        <v>564</v>
      </c>
      <c r="H11" s="10" t="s">
        <v>604</v>
      </c>
      <c r="I11" t="s">
        <v>605</v>
      </c>
      <c r="J11" t="s">
        <v>105</v>
      </c>
      <c r="K11" t="s">
        <v>105</v>
      </c>
      <c r="L11" t="s">
        <v>105</v>
      </c>
      <c r="M11" t="s">
        <v>567</v>
      </c>
    </row>
    <row r="12" spans="1:13">
      <c r="A12" t="s">
        <v>606</v>
      </c>
      <c r="B12" t="s">
        <v>581</v>
      </c>
      <c r="C12" t="s">
        <v>582</v>
      </c>
      <c r="D12" t="s">
        <v>607</v>
      </c>
      <c r="E12" t="s">
        <v>582</v>
      </c>
      <c r="F12" t="s">
        <v>250</v>
      </c>
      <c r="G12" t="s">
        <v>564</v>
      </c>
      <c r="H12" s="10" t="s">
        <v>485</v>
      </c>
      <c r="I12" t="s">
        <v>486</v>
      </c>
      <c r="J12" t="s">
        <v>105</v>
      </c>
      <c r="K12" t="s">
        <v>105</v>
      </c>
      <c r="L12" t="s">
        <v>105</v>
      </c>
      <c r="M12" t="s">
        <v>567</v>
      </c>
    </row>
    <row r="13" spans="1:13">
      <c r="A13" t="s">
        <v>608</v>
      </c>
      <c r="B13" t="s">
        <v>581</v>
      </c>
      <c r="C13" t="s">
        <v>582</v>
      </c>
      <c r="D13" t="s">
        <v>609</v>
      </c>
      <c r="E13" t="s">
        <v>582</v>
      </c>
      <c r="F13" t="s">
        <v>250</v>
      </c>
      <c r="G13" t="s">
        <v>564</v>
      </c>
      <c r="H13" s="10" t="s">
        <v>610</v>
      </c>
      <c r="I13" t="s">
        <v>611</v>
      </c>
      <c r="J13" t="s">
        <v>105</v>
      </c>
      <c r="K13" t="s">
        <v>105</v>
      </c>
      <c r="L13" t="s">
        <v>105</v>
      </c>
      <c r="M13" t="s">
        <v>567</v>
      </c>
    </row>
    <row r="14" spans="1:13">
      <c r="A14" t="s">
        <v>612</v>
      </c>
      <c r="B14" t="s">
        <v>613</v>
      </c>
      <c r="C14" t="s">
        <v>614</v>
      </c>
      <c r="D14" t="s">
        <v>615</v>
      </c>
      <c r="E14" t="s">
        <v>614</v>
      </c>
      <c r="F14" t="s">
        <v>383</v>
      </c>
      <c r="G14" t="s">
        <v>564</v>
      </c>
      <c r="H14" s="10" t="s">
        <v>616</v>
      </c>
      <c r="I14" t="s">
        <v>617</v>
      </c>
      <c r="J14" t="s">
        <v>105</v>
      </c>
      <c r="K14" t="s">
        <v>105</v>
      </c>
      <c r="L14" t="s">
        <v>105</v>
      </c>
      <c r="M14" t="s">
        <v>618</v>
      </c>
    </row>
    <row r="15" spans="1:13">
      <c r="A15" t="s">
        <v>619</v>
      </c>
      <c r="B15" t="s">
        <v>581</v>
      </c>
      <c r="C15" t="s">
        <v>582</v>
      </c>
      <c r="D15" t="s">
        <v>620</v>
      </c>
      <c r="E15" t="s">
        <v>582</v>
      </c>
      <c r="F15" t="s">
        <v>621</v>
      </c>
      <c r="G15" t="s">
        <v>564</v>
      </c>
      <c r="H15" s="10" t="s">
        <v>622</v>
      </c>
      <c r="I15" t="s">
        <v>623</v>
      </c>
      <c r="J15" t="s">
        <v>105</v>
      </c>
      <c r="K15" t="s">
        <v>105</v>
      </c>
      <c r="L15" t="s">
        <v>105</v>
      </c>
      <c r="M15" t="s">
        <v>567</v>
      </c>
    </row>
    <row r="16" spans="1:13">
      <c r="A16" t="s">
        <v>624</v>
      </c>
      <c r="B16" t="s">
        <v>581</v>
      </c>
      <c r="C16" t="s">
        <v>582</v>
      </c>
      <c r="D16" t="s">
        <v>625</v>
      </c>
      <c r="E16" t="s">
        <v>582</v>
      </c>
      <c r="F16" t="s">
        <v>626</v>
      </c>
      <c r="G16" t="s">
        <v>564</v>
      </c>
      <c r="H16" s="10" t="s">
        <v>627</v>
      </c>
      <c r="I16" t="s">
        <v>628</v>
      </c>
      <c r="J16" t="s">
        <v>105</v>
      </c>
      <c r="K16" t="s">
        <v>105</v>
      </c>
      <c r="L16" t="s">
        <v>105</v>
      </c>
      <c r="M16" t="s">
        <v>567</v>
      </c>
    </row>
    <row r="17" spans="1:13">
      <c r="A17" t="s">
        <v>629</v>
      </c>
      <c r="B17" t="s">
        <v>613</v>
      </c>
      <c r="C17" t="s">
        <v>614</v>
      </c>
      <c r="D17" t="s">
        <v>630</v>
      </c>
      <c r="E17" t="s">
        <v>614</v>
      </c>
      <c r="F17" t="s">
        <v>383</v>
      </c>
      <c r="G17" t="s">
        <v>564</v>
      </c>
      <c r="H17" s="10" t="s">
        <v>631</v>
      </c>
      <c r="I17" t="s">
        <v>632</v>
      </c>
      <c r="J17" t="s">
        <v>105</v>
      </c>
      <c r="K17" t="s">
        <v>105</v>
      </c>
      <c r="L17" t="s">
        <v>105</v>
      </c>
      <c r="M17" t="s">
        <v>618</v>
      </c>
    </row>
    <row r="18" spans="1:13">
      <c r="A18" t="s">
        <v>633</v>
      </c>
      <c r="B18" t="s">
        <v>581</v>
      </c>
      <c r="C18" t="s">
        <v>582</v>
      </c>
      <c r="D18" t="s">
        <v>634</v>
      </c>
      <c r="E18" t="s">
        <v>582</v>
      </c>
      <c r="F18" t="s">
        <v>245</v>
      </c>
      <c r="G18" t="s">
        <v>564</v>
      </c>
      <c r="H18" s="10" t="s">
        <v>635</v>
      </c>
      <c r="I18" t="s">
        <v>636</v>
      </c>
      <c r="J18" t="s">
        <v>105</v>
      </c>
      <c r="K18" t="s">
        <v>105</v>
      </c>
      <c r="L18" t="s">
        <v>105</v>
      </c>
      <c r="M18" t="s">
        <v>567</v>
      </c>
    </row>
    <row r="19" spans="1:13">
      <c r="A19" t="s">
        <v>637</v>
      </c>
      <c r="B19" t="s">
        <v>581</v>
      </c>
      <c r="C19" t="s">
        <v>582</v>
      </c>
      <c r="D19" t="s">
        <v>638</v>
      </c>
      <c r="E19" t="s">
        <v>582</v>
      </c>
      <c r="F19" t="s">
        <v>639</v>
      </c>
      <c r="G19" t="s">
        <v>564</v>
      </c>
      <c r="H19" s="10" t="s">
        <v>640</v>
      </c>
      <c r="I19" t="s">
        <v>641</v>
      </c>
      <c r="J19" t="s">
        <v>105</v>
      </c>
      <c r="K19" t="s">
        <v>105</v>
      </c>
      <c r="L19" t="s">
        <v>105</v>
      </c>
      <c r="M19" t="s">
        <v>567</v>
      </c>
    </row>
    <row r="20" spans="1:13">
      <c r="A20" t="s">
        <v>642</v>
      </c>
      <c r="B20" t="s">
        <v>581</v>
      </c>
      <c r="C20" t="s">
        <v>582</v>
      </c>
      <c r="D20" t="s">
        <v>643</v>
      </c>
      <c r="E20" t="s">
        <v>582</v>
      </c>
      <c r="F20" t="s">
        <v>427</v>
      </c>
      <c r="G20" t="s">
        <v>564</v>
      </c>
      <c r="H20" s="10" t="s">
        <v>644</v>
      </c>
      <c r="I20" t="s">
        <v>645</v>
      </c>
      <c r="J20" t="s">
        <v>105</v>
      </c>
      <c r="K20" t="s">
        <v>105</v>
      </c>
      <c r="L20" t="s">
        <v>105</v>
      </c>
      <c r="M20" t="s">
        <v>567</v>
      </c>
    </row>
    <row r="21" spans="1:13">
      <c r="A21" t="s">
        <v>646</v>
      </c>
      <c r="B21" t="s">
        <v>613</v>
      </c>
      <c r="C21" t="s">
        <v>614</v>
      </c>
      <c r="D21" t="s">
        <v>647</v>
      </c>
      <c r="E21" t="s">
        <v>614</v>
      </c>
      <c r="F21" t="s">
        <v>383</v>
      </c>
      <c r="G21" t="s">
        <v>564</v>
      </c>
      <c r="H21" s="10" t="s">
        <v>648</v>
      </c>
      <c r="I21" t="s">
        <v>649</v>
      </c>
      <c r="J21" t="s">
        <v>105</v>
      </c>
      <c r="K21" t="s">
        <v>105</v>
      </c>
      <c r="L21" t="s">
        <v>105</v>
      </c>
      <c r="M21" t="s">
        <v>618</v>
      </c>
    </row>
    <row r="22" spans="1:13">
      <c r="A22" t="s">
        <v>650</v>
      </c>
      <c r="B22" t="s">
        <v>581</v>
      </c>
      <c r="C22" t="s">
        <v>582</v>
      </c>
      <c r="D22" t="s">
        <v>651</v>
      </c>
      <c r="E22" t="s">
        <v>582</v>
      </c>
      <c r="F22" t="s">
        <v>243</v>
      </c>
      <c r="G22" t="s">
        <v>564</v>
      </c>
      <c r="H22" s="10" t="s">
        <v>473</v>
      </c>
      <c r="I22" t="s">
        <v>474</v>
      </c>
      <c r="J22" t="s">
        <v>105</v>
      </c>
      <c r="K22" t="s">
        <v>105</v>
      </c>
      <c r="L22" t="s">
        <v>105</v>
      </c>
      <c r="M22" t="s">
        <v>567</v>
      </c>
    </row>
    <row r="23" spans="1:13">
      <c r="A23" t="s">
        <v>652</v>
      </c>
      <c r="B23" t="s">
        <v>581</v>
      </c>
      <c r="C23" t="s">
        <v>582</v>
      </c>
      <c r="D23" t="s">
        <v>653</v>
      </c>
      <c r="E23" t="s">
        <v>582</v>
      </c>
      <c r="F23" t="s">
        <v>241</v>
      </c>
      <c r="G23" t="s">
        <v>564</v>
      </c>
      <c r="H23" s="10" t="s">
        <v>505</v>
      </c>
      <c r="I23" t="s">
        <v>506</v>
      </c>
      <c r="J23" t="s">
        <v>105</v>
      </c>
      <c r="K23" t="s">
        <v>105</v>
      </c>
      <c r="L23" t="s">
        <v>105</v>
      </c>
      <c r="M23" t="s">
        <v>567</v>
      </c>
    </row>
    <row r="24" spans="1:13">
      <c r="A24" t="s">
        <v>654</v>
      </c>
      <c r="B24" t="s">
        <v>613</v>
      </c>
      <c r="C24" t="s">
        <v>614</v>
      </c>
      <c r="D24" t="s">
        <v>655</v>
      </c>
      <c r="E24" t="s">
        <v>614</v>
      </c>
      <c r="F24" t="s">
        <v>383</v>
      </c>
      <c r="G24" t="s">
        <v>564</v>
      </c>
      <c r="H24" s="10" t="s">
        <v>656</v>
      </c>
      <c r="I24" t="s">
        <v>657</v>
      </c>
      <c r="J24" t="s">
        <v>105</v>
      </c>
      <c r="K24" t="s">
        <v>105</v>
      </c>
      <c r="L24" t="s">
        <v>105</v>
      </c>
      <c r="M24" t="s">
        <v>618</v>
      </c>
    </row>
    <row r="25" spans="1:13">
      <c r="A25" t="s">
        <v>658</v>
      </c>
      <c r="B25" t="s">
        <v>581</v>
      </c>
      <c r="C25" t="s">
        <v>582</v>
      </c>
      <c r="D25" t="s">
        <v>659</v>
      </c>
      <c r="E25" t="s">
        <v>582</v>
      </c>
      <c r="F25" t="s">
        <v>660</v>
      </c>
      <c r="G25" t="s">
        <v>564</v>
      </c>
      <c r="H25" s="10" t="s">
        <v>501</v>
      </c>
      <c r="I25" t="s">
        <v>502</v>
      </c>
      <c r="J25" t="s">
        <v>105</v>
      </c>
      <c r="K25" t="s">
        <v>105</v>
      </c>
      <c r="L25" t="s">
        <v>105</v>
      </c>
      <c r="M25" t="s">
        <v>567</v>
      </c>
    </row>
    <row r="26" spans="1:13">
      <c r="A26" t="s">
        <v>661</v>
      </c>
      <c r="B26" t="s">
        <v>613</v>
      </c>
      <c r="C26" t="s">
        <v>614</v>
      </c>
      <c r="D26" t="s">
        <v>662</v>
      </c>
      <c r="E26" t="s">
        <v>614</v>
      </c>
      <c r="F26" t="s">
        <v>383</v>
      </c>
      <c r="G26" t="s">
        <v>564</v>
      </c>
      <c r="H26" s="10" t="s">
        <v>663</v>
      </c>
      <c r="I26" t="s">
        <v>664</v>
      </c>
      <c r="J26" t="s">
        <v>105</v>
      </c>
      <c r="K26" t="s">
        <v>105</v>
      </c>
      <c r="L26" t="s">
        <v>105</v>
      </c>
      <c r="M26" t="s">
        <v>618</v>
      </c>
    </row>
    <row r="27" spans="1:13">
      <c r="A27" t="s">
        <v>665</v>
      </c>
      <c r="B27" t="s">
        <v>613</v>
      </c>
      <c r="C27" t="s">
        <v>614</v>
      </c>
      <c r="D27" t="s">
        <v>666</v>
      </c>
      <c r="E27" t="s">
        <v>614</v>
      </c>
      <c r="F27" t="s">
        <v>383</v>
      </c>
      <c r="G27" t="s">
        <v>564</v>
      </c>
      <c r="H27" s="10" t="s">
        <v>667</v>
      </c>
      <c r="I27" t="s">
        <v>668</v>
      </c>
      <c r="J27" t="s">
        <v>105</v>
      </c>
      <c r="K27" t="s">
        <v>105</v>
      </c>
      <c r="L27" t="s">
        <v>105</v>
      </c>
      <c r="M27" t="s">
        <v>618</v>
      </c>
    </row>
    <row r="28" spans="1:13">
      <c r="A28" t="s">
        <v>669</v>
      </c>
      <c r="B28" t="s">
        <v>613</v>
      </c>
      <c r="C28" t="s">
        <v>614</v>
      </c>
      <c r="D28" t="s">
        <v>670</v>
      </c>
      <c r="E28" t="s">
        <v>614</v>
      </c>
      <c r="F28" t="s">
        <v>383</v>
      </c>
      <c r="G28" t="s">
        <v>564</v>
      </c>
      <c r="H28" s="10" t="s">
        <v>671</v>
      </c>
      <c r="I28" t="s">
        <v>672</v>
      </c>
      <c r="J28" t="s">
        <v>105</v>
      </c>
      <c r="K28" t="s">
        <v>105</v>
      </c>
      <c r="L28" t="s">
        <v>105</v>
      </c>
      <c r="M28" t="s">
        <v>618</v>
      </c>
    </row>
    <row r="29" spans="1:13">
      <c r="A29" t="s">
        <v>673</v>
      </c>
      <c r="B29" t="s">
        <v>613</v>
      </c>
      <c r="C29" t="s">
        <v>614</v>
      </c>
      <c r="D29" t="s">
        <v>674</v>
      </c>
      <c r="E29" t="s">
        <v>614</v>
      </c>
      <c r="F29" t="s">
        <v>383</v>
      </c>
      <c r="G29" t="s">
        <v>564</v>
      </c>
      <c r="H29" s="10" t="s">
        <v>675</v>
      </c>
      <c r="I29" t="s">
        <v>676</v>
      </c>
      <c r="J29" t="s">
        <v>105</v>
      </c>
      <c r="K29" t="s">
        <v>105</v>
      </c>
      <c r="L29" t="s">
        <v>105</v>
      </c>
      <c r="M29" t="s">
        <v>618</v>
      </c>
    </row>
    <row r="30" spans="1:13">
      <c r="A30" t="s">
        <v>677</v>
      </c>
      <c r="B30" t="s">
        <v>613</v>
      </c>
      <c r="C30" t="s">
        <v>614</v>
      </c>
      <c r="D30" t="s">
        <v>678</v>
      </c>
      <c r="E30" t="s">
        <v>614</v>
      </c>
      <c r="F30" t="s">
        <v>383</v>
      </c>
      <c r="G30" t="s">
        <v>564</v>
      </c>
      <c r="H30" s="10" t="s">
        <v>679</v>
      </c>
      <c r="I30" t="s">
        <v>680</v>
      </c>
      <c r="J30" t="s">
        <v>105</v>
      </c>
      <c r="K30" t="s">
        <v>105</v>
      </c>
      <c r="L30" t="s">
        <v>105</v>
      </c>
      <c r="M30" t="s">
        <v>618</v>
      </c>
    </row>
    <row r="31" spans="1:13">
      <c r="A31" t="s">
        <v>681</v>
      </c>
      <c r="B31" t="s">
        <v>613</v>
      </c>
      <c r="C31" t="s">
        <v>614</v>
      </c>
      <c r="D31" t="s">
        <v>682</v>
      </c>
      <c r="E31" t="s">
        <v>614</v>
      </c>
      <c r="F31" t="s">
        <v>383</v>
      </c>
      <c r="G31" t="s">
        <v>564</v>
      </c>
      <c r="H31" s="10" t="s">
        <v>683</v>
      </c>
      <c r="I31" t="s">
        <v>684</v>
      </c>
      <c r="J31" t="s">
        <v>105</v>
      </c>
      <c r="K31" t="s">
        <v>105</v>
      </c>
      <c r="L31" t="s">
        <v>105</v>
      </c>
      <c r="M31" t="s">
        <v>618</v>
      </c>
    </row>
    <row r="32" spans="1:13">
      <c r="A32" t="s">
        <v>685</v>
      </c>
      <c r="B32" t="s">
        <v>613</v>
      </c>
      <c r="C32" t="s">
        <v>614</v>
      </c>
      <c r="D32" t="s">
        <v>686</v>
      </c>
      <c r="E32" t="s">
        <v>614</v>
      </c>
      <c r="F32" t="s">
        <v>383</v>
      </c>
      <c r="G32" t="s">
        <v>564</v>
      </c>
      <c r="H32" s="10" t="s">
        <v>687</v>
      </c>
      <c r="I32" t="s">
        <v>688</v>
      </c>
      <c r="J32" t="s">
        <v>105</v>
      </c>
      <c r="K32" t="s">
        <v>105</v>
      </c>
      <c r="L32" t="s">
        <v>105</v>
      </c>
      <c r="M32" t="s">
        <v>618</v>
      </c>
    </row>
    <row r="33" spans="1:13">
      <c r="A33" t="s">
        <v>689</v>
      </c>
      <c r="B33" t="s">
        <v>690</v>
      </c>
      <c r="C33" t="s">
        <v>691</v>
      </c>
      <c r="D33" t="s">
        <v>692</v>
      </c>
      <c r="E33" t="s">
        <v>691</v>
      </c>
      <c r="F33" t="s">
        <v>250</v>
      </c>
      <c r="G33" t="s">
        <v>564</v>
      </c>
      <c r="H33" s="10" t="s">
        <v>488</v>
      </c>
      <c r="I33" t="s">
        <v>489</v>
      </c>
      <c r="J33" t="s">
        <v>105</v>
      </c>
      <c r="K33" t="s">
        <v>105</v>
      </c>
      <c r="L33" t="s">
        <v>105</v>
      </c>
      <c r="M33" t="s">
        <v>567</v>
      </c>
    </row>
    <row r="34" spans="1:13">
      <c r="A34" t="s">
        <v>693</v>
      </c>
      <c r="B34" t="s">
        <v>690</v>
      </c>
      <c r="C34" t="s">
        <v>691</v>
      </c>
      <c r="D34" t="s">
        <v>694</v>
      </c>
      <c r="E34" t="s">
        <v>691</v>
      </c>
      <c r="F34" t="s">
        <v>252</v>
      </c>
      <c r="G34" t="s">
        <v>564</v>
      </c>
      <c r="H34" s="10" t="s">
        <v>695</v>
      </c>
      <c r="I34" t="s">
        <v>696</v>
      </c>
      <c r="J34" t="s">
        <v>105</v>
      </c>
      <c r="K34" t="s">
        <v>105</v>
      </c>
      <c r="L34" t="s">
        <v>105</v>
      </c>
      <c r="M34" t="s">
        <v>567</v>
      </c>
    </row>
    <row r="35" spans="1:13">
      <c r="A35" t="s">
        <v>697</v>
      </c>
      <c r="B35" t="s">
        <v>690</v>
      </c>
      <c r="C35" t="s">
        <v>691</v>
      </c>
      <c r="D35" t="s">
        <v>698</v>
      </c>
      <c r="E35" t="s">
        <v>691</v>
      </c>
      <c r="F35" t="s">
        <v>260</v>
      </c>
      <c r="G35" t="s">
        <v>564</v>
      </c>
      <c r="H35" s="10" t="s">
        <v>494</v>
      </c>
      <c r="I35" t="s">
        <v>495</v>
      </c>
      <c r="J35" t="s">
        <v>105</v>
      </c>
      <c r="K35" t="s">
        <v>105</v>
      </c>
      <c r="L35" t="s">
        <v>105</v>
      </c>
      <c r="M35" t="s">
        <v>567</v>
      </c>
    </row>
    <row r="36" spans="1:13">
      <c r="A36" t="s">
        <v>699</v>
      </c>
      <c r="B36" t="s">
        <v>690</v>
      </c>
      <c r="C36" t="s">
        <v>691</v>
      </c>
      <c r="D36" t="s">
        <v>700</v>
      </c>
      <c r="E36" t="s">
        <v>691</v>
      </c>
      <c r="F36" t="s">
        <v>105</v>
      </c>
      <c r="G36" t="s">
        <v>564</v>
      </c>
      <c r="H36" s="10" t="s">
        <v>701</v>
      </c>
      <c r="I36" t="s">
        <v>702</v>
      </c>
      <c r="J36" t="s">
        <v>105</v>
      </c>
      <c r="K36" t="s">
        <v>105</v>
      </c>
      <c r="L36" t="s">
        <v>105</v>
      </c>
      <c r="M36" t="s">
        <v>567</v>
      </c>
    </row>
    <row r="37" spans="1:13">
      <c r="A37" t="s">
        <v>703</v>
      </c>
      <c r="B37" t="s">
        <v>690</v>
      </c>
      <c r="C37" t="s">
        <v>691</v>
      </c>
      <c r="D37" t="s">
        <v>704</v>
      </c>
      <c r="E37" t="s">
        <v>691</v>
      </c>
      <c r="F37" t="s">
        <v>105</v>
      </c>
      <c r="G37" t="s">
        <v>564</v>
      </c>
      <c r="H37" s="10" t="s">
        <v>705</v>
      </c>
      <c r="I37" t="s">
        <v>706</v>
      </c>
      <c r="J37" t="s">
        <v>105</v>
      </c>
      <c r="K37" t="s">
        <v>105</v>
      </c>
      <c r="L37" t="s">
        <v>105</v>
      </c>
      <c r="M37" t="s">
        <v>567</v>
      </c>
    </row>
    <row r="38" spans="1:13">
      <c r="A38" t="s">
        <v>707</v>
      </c>
      <c r="B38" t="s">
        <v>690</v>
      </c>
      <c r="C38" t="s">
        <v>691</v>
      </c>
      <c r="D38" t="s">
        <v>708</v>
      </c>
      <c r="E38" t="s">
        <v>691</v>
      </c>
      <c r="F38" t="s">
        <v>105</v>
      </c>
      <c r="G38" t="s">
        <v>564</v>
      </c>
      <c r="H38" s="10" t="s">
        <v>497</v>
      </c>
      <c r="I38" t="s">
        <v>498</v>
      </c>
      <c r="J38" t="s">
        <v>105</v>
      </c>
      <c r="K38" t="s">
        <v>105</v>
      </c>
      <c r="L38" t="s">
        <v>105</v>
      </c>
      <c r="M38" t="s">
        <v>567</v>
      </c>
    </row>
    <row r="39" spans="1:13">
      <c r="A39" t="s">
        <v>709</v>
      </c>
      <c r="B39" t="s">
        <v>690</v>
      </c>
      <c r="C39" t="s">
        <v>691</v>
      </c>
      <c r="D39" t="s">
        <v>710</v>
      </c>
      <c r="E39" t="s">
        <v>691</v>
      </c>
      <c r="F39" t="s">
        <v>711</v>
      </c>
      <c r="G39" t="s">
        <v>564</v>
      </c>
      <c r="H39" s="10" t="s">
        <v>712</v>
      </c>
      <c r="I39" t="s">
        <v>713</v>
      </c>
      <c r="J39" t="s">
        <v>105</v>
      </c>
      <c r="K39" t="s">
        <v>105</v>
      </c>
      <c r="L39" t="s">
        <v>105</v>
      </c>
      <c r="M39" t="s">
        <v>567</v>
      </c>
    </row>
    <row r="40" spans="1:13">
      <c r="A40" t="s">
        <v>714</v>
      </c>
      <c r="B40" t="s">
        <v>715</v>
      </c>
      <c r="C40" t="s">
        <v>716</v>
      </c>
      <c r="D40" t="s">
        <v>717</v>
      </c>
      <c r="E40" t="s">
        <v>716</v>
      </c>
      <c r="F40" t="s">
        <v>718</v>
      </c>
      <c r="G40" t="s">
        <v>564</v>
      </c>
      <c r="H40" s="10" t="s">
        <v>719</v>
      </c>
      <c r="I40" t="s">
        <v>720</v>
      </c>
      <c r="J40" t="s">
        <v>105</v>
      </c>
      <c r="K40" t="s">
        <v>105</v>
      </c>
      <c r="L40" t="s">
        <v>105</v>
      </c>
      <c r="M40" t="s">
        <v>567</v>
      </c>
    </row>
    <row r="41" spans="1:13">
      <c r="A41" t="s">
        <v>721</v>
      </c>
      <c r="B41" t="s">
        <v>715</v>
      </c>
      <c r="C41" t="s">
        <v>722</v>
      </c>
      <c r="D41" t="s">
        <v>723</v>
      </c>
      <c r="E41" t="s">
        <v>722</v>
      </c>
      <c r="F41" t="s">
        <v>724</v>
      </c>
      <c r="G41" t="s">
        <v>564</v>
      </c>
      <c r="H41" s="10" t="s">
        <v>725</v>
      </c>
      <c r="I41" t="s">
        <v>726</v>
      </c>
      <c r="J41" t="s">
        <v>105</v>
      </c>
      <c r="K41" t="s">
        <v>105</v>
      </c>
      <c r="L41" t="s">
        <v>105</v>
      </c>
      <c r="M41" t="s">
        <v>567</v>
      </c>
    </row>
    <row r="42" spans="1:13">
      <c r="A42" t="s">
        <v>727</v>
      </c>
      <c r="B42" t="s">
        <v>715</v>
      </c>
      <c r="C42" t="s">
        <v>691</v>
      </c>
      <c r="D42" t="s">
        <v>728</v>
      </c>
      <c r="E42" t="s">
        <v>691</v>
      </c>
      <c r="F42" t="s">
        <v>105</v>
      </c>
      <c r="G42" t="s">
        <v>564</v>
      </c>
      <c r="H42" s="10" t="s">
        <v>729</v>
      </c>
      <c r="I42" t="s">
        <v>730</v>
      </c>
      <c r="J42" t="s">
        <v>105</v>
      </c>
      <c r="K42" t="s">
        <v>105</v>
      </c>
      <c r="L42" t="s">
        <v>105</v>
      </c>
      <c r="M42" t="s">
        <v>567</v>
      </c>
    </row>
    <row r="43" spans="1:13">
      <c r="A43" t="s">
        <v>731</v>
      </c>
      <c r="B43" t="s">
        <v>732</v>
      </c>
      <c r="C43" t="s">
        <v>733</v>
      </c>
      <c r="D43" t="s">
        <v>734</v>
      </c>
      <c r="E43" t="s">
        <v>733</v>
      </c>
      <c r="F43" t="s">
        <v>262</v>
      </c>
      <c r="G43" t="s">
        <v>564</v>
      </c>
      <c r="H43" s="10" t="s">
        <v>735</v>
      </c>
      <c r="I43" t="s">
        <v>736</v>
      </c>
      <c r="J43" t="s">
        <v>105</v>
      </c>
      <c r="K43" t="s">
        <v>105</v>
      </c>
      <c r="L43" t="s">
        <v>105</v>
      </c>
      <c r="M43" t="s">
        <v>567</v>
      </c>
    </row>
    <row r="44" spans="1:13">
      <c r="A44" t="s">
        <v>737</v>
      </c>
      <c r="B44" t="s">
        <v>738</v>
      </c>
      <c r="C44" t="s">
        <v>739</v>
      </c>
      <c r="D44" t="s">
        <v>740</v>
      </c>
      <c r="E44" t="s">
        <v>739</v>
      </c>
      <c r="F44" t="s">
        <v>295</v>
      </c>
      <c r="G44" t="s">
        <v>564</v>
      </c>
      <c r="H44" s="10" t="s">
        <v>741</v>
      </c>
      <c r="I44" t="s">
        <v>742</v>
      </c>
      <c r="J44" t="s">
        <v>105</v>
      </c>
      <c r="K44" t="s">
        <v>105</v>
      </c>
      <c r="L44" t="s">
        <v>105</v>
      </c>
      <c r="M44" t="s">
        <v>567</v>
      </c>
    </row>
    <row r="45" spans="1:13">
      <c r="A45" t="s">
        <v>743</v>
      </c>
      <c r="B45" t="s">
        <v>744</v>
      </c>
      <c r="C45" t="s">
        <v>745</v>
      </c>
      <c r="D45" t="s">
        <v>746</v>
      </c>
      <c r="E45" t="s">
        <v>745</v>
      </c>
      <c r="F45" t="s">
        <v>532</v>
      </c>
      <c r="G45" t="s">
        <v>564</v>
      </c>
      <c r="H45" s="10" t="s">
        <v>747</v>
      </c>
      <c r="I45" t="s">
        <v>748</v>
      </c>
      <c r="J45" t="s">
        <v>105</v>
      </c>
      <c r="K45" t="s">
        <v>105</v>
      </c>
      <c r="L45" t="s">
        <v>105</v>
      </c>
      <c r="M45" t="s">
        <v>567</v>
      </c>
    </row>
    <row r="46" spans="1:13">
      <c r="A46" t="s">
        <v>749</v>
      </c>
      <c r="B46" t="s">
        <v>744</v>
      </c>
      <c r="C46" t="s">
        <v>745</v>
      </c>
      <c r="D46" t="s">
        <v>750</v>
      </c>
      <c r="E46" t="s">
        <v>745</v>
      </c>
      <c r="F46" t="s">
        <v>532</v>
      </c>
      <c r="G46" t="s">
        <v>564</v>
      </c>
      <c r="H46" s="10" t="s">
        <v>751</v>
      </c>
      <c r="I46" t="s">
        <v>752</v>
      </c>
      <c r="J46" t="s">
        <v>105</v>
      </c>
      <c r="K46" t="s">
        <v>105</v>
      </c>
      <c r="L46" t="s">
        <v>105</v>
      </c>
      <c r="M46" t="s">
        <v>567</v>
      </c>
    </row>
    <row r="47" spans="1:13">
      <c r="A47" t="s">
        <v>753</v>
      </c>
      <c r="B47" t="s">
        <v>744</v>
      </c>
      <c r="C47" t="s">
        <v>754</v>
      </c>
      <c r="D47" t="s">
        <v>755</v>
      </c>
      <c r="E47" t="s">
        <v>754</v>
      </c>
      <c r="F47" t="s">
        <v>258</v>
      </c>
      <c r="G47" t="s">
        <v>564</v>
      </c>
      <c r="H47" s="10" t="s">
        <v>756</v>
      </c>
      <c r="I47" t="s">
        <v>757</v>
      </c>
      <c r="J47" t="s">
        <v>105</v>
      </c>
      <c r="K47" t="s">
        <v>105</v>
      </c>
      <c r="L47" t="s">
        <v>105</v>
      </c>
      <c r="M47" t="s">
        <v>567</v>
      </c>
    </row>
    <row r="48" spans="1:13">
      <c r="A48" t="s">
        <v>758</v>
      </c>
      <c r="B48" t="s">
        <v>744</v>
      </c>
      <c r="C48" t="s">
        <v>759</v>
      </c>
      <c r="D48" t="s">
        <v>760</v>
      </c>
      <c r="E48" t="s">
        <v>759</v>
      </c>
      <c r="F48" t="s">
        <v>761</v>
      </c>
      <c r="G48" t="s">
        <v>564</v>
      </c>
      <c r="H48" s="10" t="s">
        <v>762</v>
      </c>
      <c r="I48" t="s">
        <v>763</v>
      </c>
      <c r="J48" t="s">
        <v>105</v>
      </c>
      <c r="K48" t="s">
        <v>105</v>
      </c>
      <c r="L48" t="s">
        <v>105</v>
      </c>
      <c r="M48" t="s">
        <v>567</v>
      </c>
    </row>
    <row r="49" spans="1:13">
      <c r="A49" t="s">
        <v>764</v>
      </c>
      <c r="B49" t="s">
        <v>765</v>
      </c>
      <c r="C49" t="s">
        <v>766</v>
      </c>
      <c r="D49" t="s">
        <v>767</v>
      </c>
      <c r="E49" t="s">
        <v>766</v>
      </c>
      <c r="F49" t="s">
        <v>383</v>
      </c>
      <c r="G49" t="s">
        <v>564</v>
      </c>
      <c r="H49" s="10" t="s">
        <v>768</v>
      </c>
      <c r="I49" t="s">
        <v>769</v>
      </c>
      <c r="J49" t="s">
        <v>105</v>
      </c>
      <c r="K49" t="s">
        <v>105</v>
      </c>
      <c r="L49" t="s">
        <v>105</v>
      </c>
      <c r="M49" t="s">
        <v>770</v>
      </c>
    </row>
    <row r="50" spans="1:13">
      <c r="A50" t="s">
        <v>771</v>
      </c>
      <c r="B50" t="s">
        <v>772</v>
      </c>
      <c r="C50" t="s">
        <v>773</v>
      </c>
      <c r="D50" t="s">
        <v>774</v>
      </c>
      <c r="E50" t="s">
        <v>773</v>
      </c>
      <c r="F50" t="s">
        <v>105</v>
      </c>
      <c r="G50" t="s">
        <v>564</v>
      </c>
      <c r="H50" s="10" t="s">
        <v>775</v>
      </c>
      <c r="I50" t="s">
        <v>776</v>
      </c>
      <c r="J50" t="s">
        <v>105</v>
      </c>
      <c r="K50" t="s">
        <v>105</v>
      </c>
      <c r="L50" t="s">
        <v>105</v>
      </c>
      <c r="M50" t="s">
        <v>770</v>
      </c>
    </row>
    <row r="51" spans="1:13">
      <c r="A51" t="s">
        <v>777</v>
      </c>
      <c r="B51" t="s">
        <v>772</v>
      </c>
      <c r="C51" t="s">
        <v>778</v>
      </c>
      <c r="D51" t="s">
        <v>779</v>
      </c>
      <c r="E51" t="s">
        <v>778</v>
      </c>
      <c r="F51" t="s">
        <v>105</v>
      </c>
      <c r="G51" t="s">
        <v>564</v>
      </c>
      <c r="H51" s="10" t="s">
        <v>780</v>
      </c>
      <c r="I51" t="s">
        <v>781</v>
      </c>
      <c r="J51" t="s">
        <v>105</v>
      </c>
      <c r="K51" t="s">
        <v>105</v>
      </c>
      <c r="L51" t="s">
        <v>105</v>
      </c>
      <c r="M51" t="s">
        <v>770</v>
      </c>
    </row>
    <row r="52" spans="1:13">
      <c r="A52" t="s">
        <v>782</v>
      </c>
      <c r="B52" t="s">
        <v>772</v>
      </c>
      <c r="C52" t="s">
        <v>739</v>
      </c>
      <c r="D52" t="s">
        <v>783</v>
      </c>
      <c r="E52" t="s">
        <v>739</v>
      </c>
      <c r="F52" t="s">
        <v>105</v>
      </c>
      <c r="G52" t="s">
        <v>564</v>
      </c>
      <c r="H52" s="10" t="s">
        <v>784</v>
      </c>
      <c r="I52" t="s">
        <v>785</v>
      </c>
      <c r="J52" t="s">
        <v>105</v>
      </c>
      <c r="K52" t="s">
        <v>105</v>
      </c>
      <c r="L52" t="s">
        <v>105</v>
      </c>
      <c r="M52" t="s">
        <v>567</v>
      </c>
    </row>
    <row r="53" spans="1:13">
      <c r="A53" t="s">
        <v>786</v>
      </c>
      <c r="B53" t="s">
        <v>690</v>
      </c>
      <c r="C53" t="s">
        <v>691</v>
      </c>
      <c r="D53" t="s">
        <v>787</v>
      </c>
      <c r="E53" t="s">
        <v>691</v>
      </c>
      <c r="F53" t="s">
        <v>94</v>
      </c>
      <c r="G53" t="s">
        <v>564</v>
      </c>
      <c r="H53" s="10" t="s">
        <v>477</v>
      </c>
      <c r="I53" t="s">
        <v>478</v>
      </c>
      <c r="J53" t="s">
        <v>105</v>
      </c>
      <c r="K53" t="s">
        <v>105</v>
      </c>
      <c r="L53" t="s">
        <v>105</v>
      </c>
      <c r="M53" t="s">
        <v>567</v>
      </c>
    </row>
    <row r="54" spans="1:13">
      <c r="A54" t="s">
        <v>788</v>
      </c>
      <c r="B54" t="s">
        <v>690</v>
      </c>
      <c r="C54" t="s">
        <v>691</v>
      </c>
      <c r="D54" t="s">
        <v>789</v>
      </c>
      <c r="E54" t="s">
        <v>691</v>
      </c>
      <c r="F54" t="s">
        <v>243</v>
      </c>
      <c r="G54" t="s">
        <v>564</v>
      </c>
      <c r="H54" s="10" t="s">
        <v>481</v>
      </c>
      <c r="I54" t="s">
        <v>482</v>
      </c>
      <c r="J54" t="s">
        <v>105</v>
      </c>
      <c r="K54" t="s">
        <v>105</v>
      </c>
      <c r="L54" t="s">
        <v>105</v>
      </c>
      <c r="M54" t="s">
        <v>567</v>
      </c>
    </row>
    <row r="55" spans="1:13">
      <c r="A55" t="s">
        <v>790</v>
      </c>
      <c r="B55" t="s">
        <v>732</v>
      </c>
      <c r="C55" t="s">
        <v>791</v>
      </c>
      <c r="D55" t="s">
        <v>792</v>
      </c>
      <c r="E55" t="s">
        <v>791</v>
      </c>
      <c r="F55" t="s">
        <v>793</v>
      </c>
      <c r="G55" t="s">
        <v>564</v>
      </c>
      <c r="H55" s="10" t="s">
        <v>794</v>
      </c>
      <c r="I55" t="s">
        <v>795</v>
      </c>
      <c r="J55" t="s">
        <v>105</v>
      </c>
      <c r="K55" t="s">
        <v>796</v>
      </c>
      <c r="L55" t="s">
        <v>797</v>
      </c>
      <c r="M55" t="s">
        <v>798</v>
      </c>
    </row>
    <row r="56" spans="1:13">
      <c r="A56" t="s">
        <v>799</v>
      </c>
      <c r="B56" t="s">
        <v>732</v>
      </c>
      <c r="C56" t="s">
        <v>800</v>
      </c>
      <c r="D56" t="s">
        <v>801</v>
      </c>
      <c r="E56" t="s">
        <v>800</v>
      </c>
      <c r="F56" t="s">
        <v>383</v>
      </c>
      <c r="G56" t="s">
        <v>564</v>
      </c>
      <c r="H56" s="10" t="s">
        <v>802</v>
      </c>
      <c r="I56" t="s">
        <v>795</v>
      </c>
      <c r="J56" t="s">
        <v>105</v>
      </c>
      <c r="K56" t="s">
        <v>796</v>
      </c>
      <c r="L56" t="s">
        <v>797</v>
      </c>
      <c r="M56" t="s">
        <v>798</v>
      </c>
    </row>
    <row r="57" spans="1:13">
      <c r="A57" t="s">
        <v>803</v>
      </c>
      <c r="B57" t="s">
        <v>765</v>
      </c>
      <c r="C57" t="s">
        <v>691</v>
      </c>
      <c r="D57" t="s">
        <v>804</v>
      </c>
      <c r="E57" t="s">
        <v>691</v>
      </c>
      <c r="F57" t="s">
        <v>238</v>
      </c>
      <c r="G57" t="s">
        <v>564</v>
      </c>
      <c r="H57" s="10" t="s">
        <v>805</v>
      </c>
      <c r="I57" t="s">
        <v>806</v>
      </c>
      <c r="J57" t="s">
        <v>105</v>
      </c>
      <c r="K57" t="s">
        <v>796</v>
      </c>
      <c r="L57" t="s">
        <v>797</v>
      </c>
      <c r="M57" t="s">
        <v>798</v>
      </c>
    </row>
    <row r="58" spans="1:13">
      <c r="A58" t="s">
        <v>807</v>
      </c>
      <c r="B58" t="s">
        <v>765</v>
      </c>
      <c r="C58" t="s">
        <v>808</v>
      </c>
      <c r="D58" t="s">
        <v>809</v>
      </c>
      <c r="E58" t="s">
        <v>808</v>
      </c>
      <c r="F58" t="s">
        <v>241</v>
      </c>
      <c r="G58" t="s">
        <v>564</v>
      </c>
      <c r="H58" s="10" t="s">
        <v>810</v>
      </c>
      <c r="I58" t="s">
        <v>806</v>
      </c>
      <c r="J58" t="s">
        <v>105</v>
      </c>
      <c r="K58" t="s">
        <v>796</v>
      </c>
      <c r="L58" t="s">
        <v>797</v>
      </c>
      <c r="M58" t="s">
        <v>798</v>
      </c>
    </row>
    <row r="59" spans="1:13">
      <c r="A59" t="s">
        <v>811</v>
      </c>
      <c r="B59" t="s">
        <v>765</v>
      </c>
      <c r="C59" t="s">
        <v>691</v>
      </c>
      <c r="D59" t="s">
        <v>812</v>
      </c>
      <c r="E59" t="s">
        <v>691</v>
      </c>
      <c r="F59" t="s">
        <v>247</v>
      </c>
      <c r="G59" t="s">
        <v>564</v>
      </c>
      <c r="H59" s="10" t="s">
        <v>813</v>
      </c>
      <c r="I59" t="s">
        <v>806</v>
      </c>
      <c r="J59" t="s">
        <v>105</v>
      </c>
      <c r="K59" t="s">
        <v>796</v>
      </c>
      <c r="L59" t="s">
        <v>797</v>
      </c>
      <c r="M59" t="s">
        <v>798</v>
      </c>
    </row>
  </sheetData>
  <autoFilter ref="A1:M59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 me</vt:lpstr>
      <vt:lpstr>Historical</vt:lpstr>
      <vt:lpstr>DCF Downside</vt:lpstr>
      <vt:lpstr>DCF Base</vt:lpstr>
      <vt:lpstr>DCF Upside</vt:lpstr>
      <vt:lpstr>DCF summary</vt:lpstr>
      <vt:lpstr>Sensitivity</vt:lpstr>
      <vt:lpstr>Earnings scenarios</vt:lpstr>
      <vt:lpstr>Peers</vt:lpstr>
      <vt:lpstr>Stock returns</vt:lpstr>
      <vt:lpstr>Events</vt:lpstr>
      <vt:lpstr>Options snapshot</vt:lpstr>
      <vt:lpstr>Options summary</vt:lpstr>
      <vt:lpstr>Financial audit</vt:lpstr>
      <vt:lpstr>Manual input audit</vt:lpstr>
      <vt:lpstr>Peer financial audit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Materion investment research model</dc:title>
  <dc:subject>As of 18 September 2026</dc:subject>
  <dc:creator>Fundamental equity research</dc:creator>
  <cp:lastModifiedBy>Fundamental equity research</cp:lastModifiedBy>
  <dcterms:created xsi:type="dcterms:W3CDTF">2026-09-19T20:01:22Z</dcterms:created>
  <dcterms:modified xsi:type="dcterms:W3CDTF">2026-09-19T20:01:22Z</dcterms:modified>
</cp:coreProperties>
</file>